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P&amp;L Projection" sheetId="2" state="visible" r:id="rId4"/>
    <sheet name="Sensibilite" sheetId="3" state="visible" r:id="rId5"/>
    <sheet name="Build_vs_Partn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<sst xmlns="http://schemas.openxmlformats.org/spreadsheetml/2006/main" count="208" uniqueCount="143">
  <si>
    <t xml:space="preserve">Business Plan — L'Étudiant × Alberthon  |  Hypothèses &amp; Paramètres</t>
  </si>
  <si>
    <t xml:space="preserve">Bleu = inputs modifiables  |  Période : 2026-2028  |  Montants en EUR</t>
  </si>
  <si>
    <t xml:space="preserve">  PRODUIT 1 — Baromètre des Intentions d'Orientation (SaaS annuel)</t>
  </si>
  <si>
    <t xml:space="preserve">Hypothèse</t>
  </si>
  <si>
    <t xml:space="preserve">Description</t>
  </si>
  <si>
    <t xml:space="preserve">An 1 (2026)</t>
  </si>
  <si>
    <t xml:space="preserve">An 2 (2027)</t>
  </si>
  <si>
    <t xml:space="preserve">An 3 (2028)</t>
  </si>
  <si>
    <t xml:space="preserve">Unité</t>
  </si>
  <si>
    <t xml:space="preserve">Source / Note</t>
  </si>
  <si>
    <t xml:space="preserve">Marché total établissements FR</t>
  </si>
  <si>
    <t xml:space="preserve">Nb établissements post-bac actifs</t>
  </si>
  <si>
    <t xml:space="preserve">établ.</t>
  </si>
  <si>
    <t xml:space="preserve">DEPP 2024 — nb établissements post-bac actifs</t>
  </si>
  <si>
    <t xml:space="preserve">Part adressable réseau L'Étudiant</t>
  </si>
  <si>
    <t xml:space="preserve">Couverture via force commerciale</t>
  </si>
  <si>
    <t xml:space="preserve">%</t>
  </si>
  <si>
    <t xml:space="preserve">Accélération via force commerciale</t>
  </si>
  <si>
    <t xml:space="preserve">Taux conversion prospects → clients</t>
  </si>
  <si>
    <t xml:space="preserve">Benchmark SaaS EdTech B2B : 5-10%</t>
  </si>
  <si>
    <t xml:space="preserve">INCERTAIN</t>
  </si>
  <si>
    <t xml:space="preserve">Nb clients Baromètre (calculé)</t>
  </si>
  <si>
    <t xml:space="preserve">Calculé : TAM × SAM% × Taux conversion</t>
  </si>
  <si>
    <t xml:space="preserve">clients</t>
  </si>
  <si>
    <t xml:space="preserve">Part tier Starter</t>
  </si>
  <si>
    <t xml:space="preserve">BTS, IUT locaux</t>
  </si>
  <si>
    <t xml:space="preserve">Part tier Growth</t>
  </si>
  <si>
    <t xml:space="preserve">Écoles mid-market</t>
  </si>
  <si>
    <t xml:space="preserve">Part tier Premium</t>
  </si>
  <si>
    <t xml:space="preserve">Grandes écoles, universités</t>
  </si>
  <si>
    <t xml:space="preserve">Prix annuel Starter</t>
  </si>
  <si>
    <t xml:space="preserve">+5%/an</t>
  </si>
  <si>
    <t xml:space="preserve">EUR</t>
  </si>
  <si>
    <t xml:space="preserve">Prix annuel Growth</t>
  </si>
  <si>
    <t xml:space="preserve">Prix annuel Premium</t>
  </si>
  <si>
    <t xml:space="preserve">Taux de churn annuel P1</t>
  </si>
  <si>
    <t xml:space="preserve">Conservateur — amélioration produit</t>
  </si>
  <si>
    <t xml:space="preserve">  PRODUIT 2 — Leads Qualifiés Intent-Based (CPL)</t>
  </si>
  <si>
    <t xml:space="preserve">Nb établissements clients leads</t>
  </si>
  <si>
    <t xml:space="preserve">Hypothèse commerciale terrain</t>
  </si>
  <si>
    <t xml:space="preserve">Spend moyen leads/client/an</t>
  </si>
  <si>
    <t xml:space="preserve">Benchmark CPL × volume moyen</t>
  </si>
  <si>
    <t xml:space="preserve">Part leads A dans mix livré</t>
  </si>
  <si>
    <t xml:space="preserve">Croît avec amélioration scoring</t>
  </si>
  <si>
    <t xml:space="preserve">Part leads B</t>
  </si>
  <si>
    <t xml:space="preserve">Part leads C</t>
  </si>
  <si>
    <t xml:space="preserve">Prix moyen lead A</t>
  </si>
  <si>
    <t xml:space="preserve">Premium intention forte</t>
  </si>
  <si>
    <t xml:space="preserve">Prix moyen lead B</t>
  </si>
  <si>
    <t xml:space="preserve">Prix moyen lead C</t>
  </si>
  <si>
    <t xml:space="preserve">Churn clients leads</t>
  </si>
  <si>
    <t xml:space="preserve">Plus volatile que SaaS</t>
  </si>
  <si>
    <t xml:space="preserve">  COÛTS OPÉRATIONNELS</t>
  </si>
  <si>
    <t xml:space="preserve">Data Engineers (ETP)</t>
  </si>
  <si>
    <t xml:space="preserve">Build pipeline, scoring, dashboard</t>
  </si>
  <si>
    <t xml:space="preserve">ETP</t>
  </si>
  <si>
    <t xml:space="preserve">80 k€/ETP chargé</t>
  </si>
  <si>
    <t xml:space="preserve">Coût ETP data (chargé)</t>
  </si>
  <si>
    <t xml:space="preserve">+4%/an masse salariale</t>
  </si>
  <si>
    <t xml:space="preserve">% coût Data alloué COGS</t>
  </si>
  <si>
    <t xml:space="preserve">Run pipeline = COGS ; build = OPEX</t>
  </si>
  <si>
    <t xml:space="preserve">Convention SaaS : 40% run, 60% build</t>
  </si>
  <si>
    <t xml:space="preserve">Sales reps B2B (ETP)</t>
  </si>
  <si>
    <t xml:space="preserve">60 k€/ETP</t>
  </si>
  <si>
    <t xml:space="preserve">Coût ETP sales (chargé)</t>
  </si>
  <si>
    <t xml:space="preserve">+4%/an</t>
  </si>
  <si>
    <t xml:space="preserve">Infrastructure BigQuery + cloud</t>
  </si>
  <si>
    <t xml:space="preserve">Croît avec volumes</t>
  </si>
  <si>
    <t xml:space="preserve">Marketing (% du CA)</t>
  </si>
  <si>
    <t xml:space="preserve">Décroît avec notoriété</t>
  </si>
  <si>
    <t xml:space="preserve">G&amp;A (% du CA)</t>
  </si>
  <si>
    <t xml:space="preserve">Économies d'échelle</t>
  </si>
  <si>
    <t xml:space="preserve">Compte de Résultat Prévisionnel — 2026 / 2027 / 2028</t>
  </si>
  <si>
    <t xml:space="preserve">Vert = liens vers Hypothèses  |  Noir = formules dérivées  |  Montants EUR  |  Churn appliqué (×(1−churn/2))</t>
  </si>
  <si>
    <t xml:space="preserve">Ligne P&amp;L</t>
  </si>
  <si>
    <t xml:space="preserve">An 1 — 2026</t>
  </si>
  <si>
    <t xml:space="preserve">An 2 — 2027</t>
  </si>
  <si>
    <t xml:space="preserve">An 3 — 2028</t>
  </si>
  <si>
    <t xml:space="preserve">CAGR 26-28</t>
  </si>
  <si>
    <t xml:space="preserve">Note</t>
  </si>
  <si>
    <t xml:space="preserve">  REVENUS (nets de churn)</t>
  </si>
  <si>
    <t xml:space="preserve">  Revenu Produit 1 — Baromètre SaaS</t>
  </si>
  <si>
    <t xml:space="preserve">Net de churn (×(1−churn/2))</t>
  </si>
  <si>
    <t xml:space="preserve">  Revenu Produit 2 — Leads CPL</t>
  </si>
  <si>
    <t xml:space="preserve">REVENU TOTAL</t>
  </si>
  <si>
    <t xml:space="preserve">  MARGE BRUTE</t>
  </si>
  <si>
    <t xml:space="preserve">  COGS (infra + 40% Data Eng — RUN)</t>
  </si>
  <si>
    <t xml:space="preserve">40% Data → COGS (run). Complément 60% → OPEX (build).</t>
  </si>
  <si>
    <t xml:space="preserve">MARGE BRUTE</t>
  </si>
  <si>
    <t xml:space="preserve">  Marge brute (%)</t>
  </si>
  <si>
    <t xml:space="preserve">  CHARGES OPÉRATIONNELLES</t>
  </si>
  <si>
    <t xml:space="preserve">  Équipe Data &amp; Eng (60% — BUILD)</t>
  </si>
  <si>
    <t xml:space="preserve">60% build (complément du 40% COGS)</t>
  </si>
  <si>
    <t xml:space="preserve">  Équipe Sales &amp; Account Mgmt</t>
  </si>
  <si>
    <t xml:space="preserve">  Marketing &amp; Acquisition</t>
  </si>
  <si>
    <t xml:space="preserve">  G&amp;A (juridique, admin, IT)</t>
  </si>
  <si>
    <t xml:space="preserve">TOTAL OPEX</t>
  </si>
  <si>
    <t xml:space="preserve">  RÉSULTAT</t>
  </si>
  <si>
    <t xml:space="preserve">EBITDA</t>
  </si>
  <si>
    <t xml:space="preserve">  Marge EBITDA (%)</t>
  </si>
  <si>
    <t xml:space="preserve">Analyse de Sensibilité — Taux conversion P1 (vertical) × Spend moyen leads P2 (horizontal)</t>
  </si>
  <si>
    <t xml:space="preserve">TABLEAU 1 — REVENU TOTAL AN 1 (2026)</t>
  </si>
  <si>
    <t xml:space="preserve">Conv P1 ↓ / Spend P2 →</t>
  </si>
  <si>
    <t xml:space="preserve">TABLEAU 2 — EBITDA AN 3 (2028) — correction : l'original mesurait le Revenu, cette version mesure l'EBITDA</t>
  </si>
  <si>
    <t xml:space="preserve">LECTURE : La variable la plus sensible est le spend moyen Produit 2 (leads). Une variation +30% (15k→20k €/client) génère +100 k€ de revenu en An 1. Sur P1, passer de 5% à 8% de conversion multiplie le revenu par 1,6×. Tableau 2 : l'EBITDA An 3 reste positif sur l'ensemble de la grille testée — seuil de rentabilité atteint dès Conv 6% / Spend 15k. Priorité commerciale : valider 5 clients Baromètre + 5 clients Leads avant Q3 2026.</t>
  </si>
  <si>
    <t xml:space="preserve">Build vs Partner — Framework décisionnel pour le Lead Scoring</t>
  </si>
  <si>
    <t xml:space="preserve">Question : L'Étudiant doit-il développer le scoring en interne ou s'appuyer sur un fournisseur d'enrichissement ?</t>
  </si>
  <si>
    <t xml:space="preserve">Poste de coût</t>
  </si>
  <si>
    <t xml:space="preserve">BUILD (in-house)</t>
  </si>
  <si>
    <t xml:space="preserve">PARTNER (Bombora/ZoomInfo)</t>
  </si>
  <si>
    <t xml:space="preserve">HYBRIDE (Build + Partner enrichissement C)</t>
  </si>
  <si>
    <t xml:space="preserve">Setup initial (Y1)</t>
  </si>
  <si>
    <t xml:space="preserve">Build : intégration scoring v2 ; Partner : DPA + API</t>
  </si>
  <si>
    <t xml:space="preserve">Coût récurrent An 1</t>
  </si>
  <si>
    <t xml:space="preserve">Variable</t>
  </si>
  <si>
    <t xml:space="preserve">Build : 3 ETP data × 80k ; Partner : volume trop faible</t>
  </si>
  <si>
    <t xml:space="preserve">Coût récurrent An 2</t>
  </si>
  <si>
    <t xml:space="preserve">Partner : 200k contacts × 0,30€ moyen</t>
  </si>
  <si>
    <t xml:space="preserve">Coût récurrent An 3</t>
  </si>
  <si>
    <t xml:space="preserve">Partner : 500k contacts × 0,30€</t>
  </si>
  <si>
    <t xml:space="preserve">Coût total cumulé 3 ans</t>
  </si>
  <si>
    <t xml:space="preserve">SUM des lignes ci-dessus</t>
  </si>
  <si>
    <t xml:space="preserve">Critère</t>
  </si>
  <si>
    <t xml:space="preserve">Poids</t>
  </si>
  <si>
    <t xml:space="preserve">BUILD (1-5)</t>
  </si>
  <si>
    <t xml:space="preserve">PARTNER (1-5)</t>
  </si>
  <si>
    <t xml:space="preserve">HYBRIDE (1-5)</t>
  </si>
  <si>
    <t xml:space="preserve">Justification</t>
  </si>
  <si>
    <t xml:space="preserve">Avantage concurrentiel</t>
  </si>
  <si>
    <t xml:space="preserve">Build : signaux propriétaires (agent IA, salons)</t>
  </si>
  <si>
    <t xml:space="preserve">Time-to-market</t>
  </si>
  <si>
    <t xml:space="preserve">Partner : déploiement 4 semaines vs 3-4 mois Build</t>
  </si>
  <si>
    <t xml:space="preserve">Coût total 3 ans</t>
  </si>
  <si>
    <t xml:space="preserve">Partner moins cher si volumes faibles</t>
  </si>
  <si>
    <t xml:space="preserve">Conformité RGPD</t>
  </si>
  <si>
    <t xml:space="preserve">Build : contrôle total ; Partner : DPA complexe</t>
  </si>
  <si>
    <t xml:space="preserve">Couverture signaux</t>
  </si>
  <si>
    <t xml:space="preserve">Partner enrichit les signaux off-platform</t>
  </si>
  <si>
    <t xml:space="preserve">Scalabilité</t>
  </si>
  <si>
    <t xml:space="preserve">Hybride : meilleure résilience si pic de volume</t>
  </si>
  <si>
    <t xml:space="preserve">SCORE PONDÉRÉ</t>
  </si>
  <si>
    <t xml:space="preserve">RECOMMANDATION</t>
  </si>
  <si>
    <t xml:space="preserve">BUILD prioritaire sur les 3 dimensions du scoring — données propriétaires L'Étudiant. Le score pondéré favorise BUILD (avantage concurrentiel + RGPD). PARTNER d'enrichissement (Bombora/ZoomInfo) déclenché en An 2 uniquement si volume A &lt; 60% objectif ou si écoles demandent des signaux off-platform. HYBRIDE = option de repli An 2-3.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</si>
</sst>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&quot; €&quot;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B91C1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242C"/>
        <bgColor rgb="FFB91C1C"/>
      </patternFill>
    </fill>
    <fill>
      <patternFill patternType="solid">
        <fgColor rgb="FFFFF3B0"/>
        <bgColor rgb="FFF4F6F9"/>
      </patternFill>
    </fill>
    <fill>
      <patternFill patternType="solid">
        <fgColor rgb="FFF4F6F9"/>
        <bgColor rgb="FFFFFFFF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8242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6"/>
    <col collapsed="false" customWidth="true" hidden="false" outlineLevel="0" max="5" min="3" style="1" width="13"/>
    <col collapsed="false" customWidth="true" hidden="false" outlineLevel="0" max="6" min="6" style="1" width="9"/>
    <col collapsed="false" customWidth="true" hidden="false" outlineLevel="0" max="7" min="7" style="1" width="44"/>
    <col collapsed="false" customWidth="true" hidden="false" outlineLevel="0" max="8" min="8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/>
    </row>
    <row r="6" customFormat="false" ht="15" hidden="false" customHeight="true" outlineLevel="0" collapsed="false">
      <c r="A6" s="6" t="s">
        <v>10</v>
      </c>
      <c r="B6" s="7" t="s">
        <v>11</v>
      </c>
      <c r="C6" s="8" t="n">
        <v>3500</v>
      </c>
      <c r="D6" s="8" t="n">
        <v>3500</v>
      </c>
      <c r="E6" s="8" t="n">
        <v>3500</v>
      </c>
      <c r="F6" s="6" t="s">
        <v>12</v>
      </c>
      <c r="G6" s="9" t="s">
        <v>13</v>
      </c>
    </row>
    <row r="7" customFormat="false" ht="15" hidden="false" customHeight="true" outlineLevel="0" collapsed="false">
      <c r="A7" s="6" t="s">
        <v>14</v>
      </c>
      <c r="B7" s="7" t="s">
        <v>15</v>
      </c>
      <c r="C7" s="10" t="n">
        <v>0.15</v>
      </c>
      <c r="D7" s="10" t="n">
        <v>0.25</v>
      </c>
      <c r="E7" s="10" t="n">
        <v>0.4</v>
      </c>
      <c r="F7" s="6" t="s">
        <v>16</v>
      </c>
      <c r="G7" s="9" t="s">
        <v>17</v>
      </c>
    </row>
    <row r="8" customFormat="false" ht="15" hidden="false" customHeight="true" outlineLevel="0" collapsed="false">
      <c r="A8" s="6" t="s">
        <v>18</v>
      </c>
      <c r="B8" s="7" t="s">
        <v>19</v>
      </c>
      <c r="C8" s="10" t="n">
        <v>0.05</v>
      </c>
      <c r="D8" s="10" t="n">
        <v>0.08</v>
      </c>
      <c r="E8" s="10" t="n">
        <v>0.1</v>
      </c>
      <c r="F8" s="6" t="s">
        <v>16</v>
      </c>
      <c r="G8" s="9" t="s">
        <v>19</v>
      </c>
      <c r="H8" s="11" t="s">
        <v>20</v>
      </c>
    </row>
    <row r="9" customFormat="false" ht="15" hidden="false" customHeight="true" outlineLevel="0" collapsed="false">
      <c r="A9" s="6" t="s">
        <v>21</v>
      </c>
      <c r="B9" s="7" t="s">
        <v>22</v>
      </c>
      <c r="C9" s="6" t="n">
        <f aca="false">ROUND(C6*C7*C8,0)</f>
        <v>26</v>
      </c>
      <c r="D9" s="6" t="n">
        <f aca="false">ROUND(D6*D7*D8,0)</f>
        <v>70</v>
      </c>
      <c r="E9" s="6" t="n">
        <f aca="false">ROUND(E6*E7*E8,0)</f>
        <v>140</v>
      </c>
      <c r="F9" s="6" t="s">
        <v>23</v>
      </c>
      <c r="G9" s="9" t="s">
        <v>22</v>
      </c>
    </row>
    <row r="10" customFormat="false" ht="15" hidden="false" customHeight="true" outlineLevel="0" collapsed="false">
      <c r="A10" s="6" t="s">
        <v>24</v>
      </c>
      <c r="B10" s="7" t="s">
        <v>25</v>
      </c>
      <c r="C10" s="10" t="n">
        <v>0.6</v>
      </c>
      <c r="D10" s="10" t="n">
        <v>0.55</v>
      </c>
      <c r="E10" s="10" t="n">
        <v>0.5</v>
      </c>
      <c r="F10" s="6" t="s">
        <v>16</v>
      </c>
      <c r="G10" s="9" t="s">
        <v>25</v>
      </c>
    </row>
    <row r="11" customFormat="false" ht="15" hidden="false" customHeight="true" outlineLevel="0" collapsed="false">
      <c r="A11" s="6" t="s">
        <v>26</v>
      </c>
      <c r="B11" s="7" t="s">
        <v>27</v>
      </c>
      <c r="C11" s="10" t="n">
        <v>0.3</v>
      </c>
      <c r="D11" s="10" t="n">
        <v>0.32</v>
      </c>
      <c r="E11" s="10" t="n">
        <v>0.33</v>
      </c>
      <c r="F11" s="6" t="s">
        <v>16</v>
      </c>
      <c r="G11" s="9" t="s">
        <v>27</v>
      </c>
    </row>
    <row r="12" customFormat="false" ht="15" hidden="false" customHeight="true" outlineLevel="0" collapsed="false">
      <c r="A12" s="6" t="s">
        <v>28</v>
      </c>
      <c r="B12" s="7" t="s">
        <v>29</v>
      </c>
      <c r="C12" s="10" t="n">
        <v>0.1</v>
      </c>
      <c r="D12" s="10" t="n">
        <v>0.13</v>
      </c>
      <c r="E12" s="10" t="n">
        <v>0.17</v>
      </c>
      <c r="F12" s="6" t="s">
        <v>16</v>
      </c>
      <c r="G12" s="9" t="s">
        <v>29</v>
      </c>
    </row>
    <row r="13" customFormat="false" ht="15" hidden="false" customHeight="true" outlineLevel="0" collapsed="false">
      <c r="A13" s="6" t="s">
        <v>30</v>
      </c>
      <c r="B13" s="7" t="s">
        <v>31</v>
      </c>
      <c r="C13" s="12" t="n">
        <v>6000</v>
      </c>
      <c r="D13" s="12" t="n">
        <v>6300</v>
      </c>
      <c r="E13" s="12" t="n">
        <v>6600</v>
      </c>
      <c r="F13" s="6" t="s">
        <v>32</v>
      </c>
      <c r="G13" s="9" t="s">
        <v>31</v>
      </c>
    </row>
    <row r="14" customFormat="false" ht="15" hidden="false" customHeight="true" outlineLevel="0" collapsed="false">
      <c r="A14" s="6" t="s">
        <v>33</v>
      </c>
      <c r="B14" s="7" t="s">
        <v>31</v>
      </c>
      <c r="C14" s="12" t="n">
        <v>14000</v>
      </c>
      <c r="D14" s="12" t="n">
        <v>14700</v>
      </c>
      <c r="E14" s="12" t="n">
        <v>15400</v>
      </c>
      <c r="F14" s="6" t="s">
        <v>32</v>
      </c>
      <c r="G14" s="9" t="s">
        <v>31</v>
      </c>
    </row>
    <row r="15" customFormat="false" ht="15" hidden="false" customHeight="true" outlineLevel="0" collapsed="false">
      <c r="A15" s="6" t="s">
        <v>34</v>
      </c>
      <c r="B15" s="7" t="s">
        <v>31</v>
      </c>
      <c r="C15" s="12" t="n">
        <v>28000</v>
      </c>
      <c r="D15" s="12" t="n">
        <v>29400</v>
      </c>
      <c r="E15" s="12" t="n">
        <v>30870</v>
      </c>
      <c r="F15" s="6" t="s">
        <v>32</v>
      </c>
      <c r="G15" s="9" t="s">
        <v>31</v>
      </c>
    </row>
    <row r="16" customFormat="false" ht="15" hidden="false" customHeight="true" outlineLevel="0" collapsed="false">
      <c r="A16" s="6" t="s">
        <v>35</v>
      </c>
      <c r="B16" s="7" t="s">
        <v>36</v>
      </c>
      <c r="C16" s="10" t="n">
        <v>0.15</v>
      </c>
      <c r="D16" s="10" t="n">
        <v>0.12</v>
      </c>
      <c r="E16" s="10" t="n">
        <v>0.1</v>
      </c>
      <c r="F16" s="6" t="s">
        <v>16</v>
      </c>
      <c r="G16" s="9" t="s">
        <v>36</v>
      </c>
      <c r="H16" s="11" t="s">
        <v>20</v>
      </c>
    </row>
    <row r="18" customFormat="false" ht="15" hidden="false" customHeight="true" outlineLevel="0" collapsed="false">
      <c r="A18" s="4" t="s">
        <v>37</v>
      </c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/>
    </row>
    <row r="20" customFormat="false" ht="15" hidden="false" customHeight="true" outlineLevel="0" collapsed="false">
      <c r="A20" s="6" t="s">
        <v>38</v>
      </c>
      <c r="B20" s="7" t="s">
        <v>39</v>
      </c>
      <c r="C20" s="8" t="n">
        <v>20</v>
      </c>
      <c r="D20" s="8" t="n">
        <v>55</v>
      </c>
      <c r="E20" s="8" t="n">
        <v>130</v>
      </c>
      <c r="F20" s="6" t="s">
        <v>23</v>
      </c>
      <c r="G20" s="9" t="s">
        <v>39</v>
      </c>
      <c r="H20" s="11" t="s">
        <v>20</v>
      </c>
    </row>
    <row r="21" customFormat="false" ht="15" hidden="false" customHeight="true" outlineLevel="0" collapsed="false">
      <c r="A21" s="6" t="s">
        <v>40</v>
      </c>
      <c r="B21" s="7" t="s">
        <v>41</v>
      </c>
      <c r="C21" s="12" t="n">
        <v>15000</v>
      </c>
      <c r="D21" s="12" t="n">
        <v>20000</v>
      </c>
      <c r="E21" s="12" t="n">
        <v>26000</v>
      </c>
      <c r="F21" s="6" t="s">
        <v>32</v>
      </c>
      <c r="G21" s="9" t="s">
        <v>41</v>
      </c>
      <c r="H21" s="11" t="s">
        <v>20</v>
      </c>
    </row>
    <row r="22" customFormat="false" ht="15" hidden="false" customHeight="true" outlineLevel="0" collapsed="false">
      <c r="A22" s="6" t="s">
        <v>42</v>
      </c>
      <c r="B22" s="7" t="s">
        <v>43</v>
      </c>
      <c r="C22" s="10" t="n">
        <v>0.25</v>
      </c>
      <c r="D22" s="10" t="n">
        <v>0.3</v>
      </c>
      <c r="E22" s="10" t="n">
        <v>0.35</v>
      </c>
      <c r="F22" s="6" t="s">
        <v>16</v>
      </c>
      <c r="G22" s="9" t="s">
        <v>43</v>
      </c>
    </row>
    <row r="23" customFormat="false" ht="15" hidden="false" customHeight="true" outlineLevel="0" collapsed="false">
      <c r="A23" s="6" t="s">
        <v>44</v>
      </c>
      <c r="B23" s="7"/>
      <c r="C23" s="10" t="n">
        <v>0.45</v>
      </c>
      <c r="D23" s="10" t="n">
        <v>0.45</v>
      </c>
      <c r="E23" s="10" t="n">
        <v>0.42</v>
      </c>
      <c r="F23" s="6" t="s">
        <v>16</v>
      </c>
      <c r="G23" s="9"/>
    </row>
    <row r="24" customFormat="false" ht="15" hidden="false" customHeight="true" outlineLevel="0" collapsed="false">
      <c r="A24" s="6" t="s">
        <v>45</v>
      </c>
      <c r="B24" s="7"/>
      <c r="C24" s="10" t="n">
        <v>0.3</v>
      </c>
      <c r="D24" s="10" t="n">
        <v>0.25</v>
      </c>
      <c r="E24" s="10" t="n">
        <v>0.23</v>
      </c>
      <c r="F24" s="6" t="s">
        <v>16</v>
      </c>
      <c r="G24" s="9"/>
    </row>
    <row r="25" customFormat="false" ht="15" hidden="false" customHeight="true" outlineLevel="0" collapsed="false">
      <c r="A25" s="6" t="s">
        <v>46</v>
      </c>
      <c r="B25" s="7" t="s">
        <v>47</v>
      </c>
      <c r="C25" s="12" t="n">
        <v>32</v>
      </c>
      <c r="D25" s="12" t="n">
        <v>34</v>
      </c>
      <c r="E25" s="12" t="n">
        <v>36</v>
      </c>
      <c r="F25" s="6" t="s">
        <v>32</v>
      </c>
      <c r="G25" s="9" t="s">
        <v>47</v>
      </c>
    </row>
    <row r="26" customFormat="false" ht="15" hidden="false" customHeight="true" outlineLevel="0" collapsed="false">
      <c r="A26" s="6" t="s">
        <v>48</v>
      </c>
      <c r="B26" s="7"/>
      <c r="C26" s="12" t="n">
        <v>11</v>
      </c>
      <c r="D26" s="12" t="n">
        <v>12</v>
      </c>
      <c r="E26" s="12" t="n">
        <v>13</v>
      </c>
      <c r="F26" s="6" t="s">
        <v>32</v>
      </c>
      <c r="G26" s="9"/>
    </row>
    <row r="27" customFormat="false" ht="15" hidden="false" customHeight="true" outlineLevel="0" collapsed="false">
      <c r="A27" s="6" t="s">
        <v>49</v>
      </c>
      <c r="B27" s="7"/>
      <c r="C27" s="12" t="n">
        <v>3</v>
      </c>
      <c r="D27" s="12" t="n">
        <v>3</v>
      </c>
      <c r="E27" s="12" t="n">
        <v>3</v>
      </c>
      <c r="F27" s="6" t="s">
        <v>32</v>
      </c>
      <c r="G27" s="9"/>
    </row>
    <row r="28" customFormat="false" ht="15" hidden="false" customHeight="true" outlineLevel="0" collapsed="false">
      <c r="A28" s="6" t="s">
        <v>50</v>
      </c>
      <c r="B28" s="7" t="s">
        <v>51</v>
      </c>
      <c r="C28" s="10" t="n">
        <v>0.2</v>
      </c>
      <c r="D28" s="10" t="n">
        <v>0.15</v>
      </c>
      <c r="E28" s="10" t="n">
        <v>0.12</v>
      </c>
      <c r="F28" s="6" t="s">
        <v>16</v>
      </c>
      <c r="G28" s="9" t="s">
        <v>51</v>
      </c>
    </row>
    <row r="30" customFormat="false" ht="15" hidden="false" customHeight="true" outlineLevel="0" collapsed="false">
      <c r="A30" s="4" t="s">
        <v>52</v>
      </c>
      <c r="B30" s="4"/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/>
    </row>
    <row r="32" customFormat="false" ht="15" hidden="false" customHeight="true" outlineLevel="0" collapsed="false">
      <c r="A32" s="6" t="s">
        <v>53</v>
      </c>
      <c r="B32" s="7" t="s">
        <v>54</v>
      </c>
      <c r="C32" s="8" t="n">
        <v>3</v>
      </c>
      <c r="D32" s="8" t="n">
        <v>4</v>
      </c>
      <c r="E32" s="8" t="n">
        <v>5</v>
      </c>
      <c r="F32" s="6" t="s">
        <v>55</v>
      </c>
      <c r="G32" s="9" t="s">
        <v>56</v>
      </c>
    </row>
    <row r="33" customFormat="false" ht="15" hidden="false" customHeight="true" outlineLevel="0" collapsed="false">
      <c r="A33" s="6" t="s">
        <v>57</v>
      </c>
      <c r="B33" s="7" t="s">
        <v>58</v>
      </c>
      <c r="C33" s="12" t="n">
        <v>80000</v>
      </c>
      <c r="D33" s="12" t="n">
        <v>83200</v>
      </c>
      <c r="E33" s="12" t="n">
        <v>86528</v>
      </c>
      <c r="F33" s="6" t="s">
        <v>32</v>
      </c>
      <c r="G33" s="9" t="s">
        <v>58</v>
      </c>
    </row>
    <row r="34" customFormat="false" ht="15" hidden="false" customHeight="true" outlineLevel="0" collapsed="false">
      <c r="A34" s="6" t="s">
        <v>59</v>
      </c>
      <c r="B34" s="7" t="s">
        <v>60</v>
      </c>
      <c r="C34" s="10" t="n">
        <v>0.4</v>
      </c>
      <c r="D34" s="10" t="n">
        <v>0.4</v>
      </c>
      <c r="E34" s="10" t="n">
        <v>0.4</v>
      </c>
      <c r="F34" s="6" t="s">
        <v>16</v>
      </c>
      <c r="G34" s="9" t="s">
        <v>61</v>
      </c>
    </row>
    <row r="35" customFormat="false" ht="15" hidden="false" customHeight="true" outlineLevel="0" collapsed="false">
      <c r="A35" s="6" t="s">
        <v>62</v>
      </c>
      <c r="B35" s="7" t="s">
        <v>63</v>
      </c>
      <c r="C35" s="8" t="n">
        <v>2</v>
      </c>
      <c r="D35" s="8" t="n">
        <v>5</v>
      </c>
      <c r="E35" s="8" t="n">
        <v>9</v>
      </c>
      <c r="F35" s="6" t="s">
        <v>55</v>
      </c>
      <c r="G35" s="9" t="s">
        <v>63</v>
      </c>
    </row>
    <row r="36" customFormat="false" ht="15" hidden="false" customHeight="true" outlineLevel="0" collapsed="false">
      <c r="A36" s="6" t="s">
        <v>64</v>
      </c>
      <c r="B36" s="7" t="s">
        <v>65</v>
      </c>
      <c r="C36" s="12" t="n">
        <v>60000</v>
      </c>
      <c r="D36" s="12" t="n">
        <v>62400</v>
      </c>
      <c r="E36" s="12" t="n">
        <v>64896</v>
      </c>
      <c r="F36" s="6" t="s">
        <v>32</v>
      </c>
      <c r="G36" s="9" t="s">
        <v>65</v>
      </c>
    </row>
    <row r="37" customFormat="false" ht="15" hidden="false" customHeight="true" outlineLevel="0" collapsed="false">
      <c r="A37" s="6" t="s">
        <v>66</v>
      </c>
      <c r="B37" s="7" t="s">
        <v>67</v>
      </c>
      <c r="C37" s="12" t="n">
        <v>8000</v>
      </c>
      <c r="D37" s="12" t="n">
        <v>20000</v>
      </c>
      <c r="E37" s="12" t="n">
        <v>48000</v>
      </c>
      <c r="F37" s="6" t="s">
        <v>32</v>
      </c>
      <c r="G37" s="9" t="s">
        <v>67</v>
      </c>
    </row>
    <row r="38" customFormat="false" ht="15" hidden="false" customHeight="true" outlineLevel="0" collapsed="false">
      <c r="A38" s="6" t="s">
        <v>68</v>
      </c>
      <c r="B38" s="7" t="s">
        <v>69</v>
      </c>
      <c r="C38" s="10" t="n">
        <v>0.12</v>
      </c>
      <c r="D38" s="10" t="n">
        <v>0.1</v>
      </c>
      <c r="E38" s="10" t="n">
        <v>0.08</v>
      </c>
      <c r="F38" s="6" t="s">
        <v>16</v>
      </c>
      <c r="G38" s="9" t="s">
        <v>69</v>
      </c>
    </row>
    <row r="39" customFormat="false" ht="15" hidden="false" customHeight="true" outlineLevel="0" collapsed="false">
      <c r="A39" s="6" t="s">
        <v>70</v>
      </c>
      <c r="B39" s="7" t="s">
        <v>71</v>
      </c>
      <c r="C39" s="10" t="n">
        <v>0.18</v>
      </c>
      <c r="D39" s="10" t="n">
        <v>0.14</v>
      </c>
      <c r="E39" s="10" t="n">
        <v>0.12</v>
      </c>
      <c r="F39" s="6" t="s">
        <v>16</v>
      </c>
      <c r="G39" s="9" t="s">
        <v>71</v>
      </c>
    </row>
  </sheetData>
  <mergeCells count="5">
    <mergeCell ref="A1:H1"/>
    <mergeCell ref="A2:H2"/>
    <mergeCell ref="A4:H4"/>
    <mergeCell ref="A18:H18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12"/>
    <col collapsed="false" customWidth="true" hidden="false" outlineLevel="0" max="6" min="6" style="1" width="38"/>
  </cols>
  <sheetData>
    <row r="1" customFormat="false" ht="15" hidden="false" customHeight="true" outlineLevel="0" collapsed="false">
      <c r="A1" s="2" t="s">
        <v>72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73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  <c r="F4" s="5" t="s">
        <v>79</v>
      </c>
    </row>
    <row r="5" customFormat="false" ht="15" hidden="false" customHeight="true" outlineLevel="0" collapsed="false">
      <c r="A5" s="4" t="s">
        <v>80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1" t="s">
        <v>81</v>
      </c>
      <c r="B6" s="13" t="n">
        <f aca="false">Hypotheses!C9*(Hypotheses!C10*Hypotheses!C13+Hypotheses!C11*Hypotheses!C14+Hypotheses!C12*Hypotheses!C15)*(1-Hypotheses!C16/2)</f>
        <v>254930</v>
      </c>
      <c r="C6" s="13" t="n">
        <f aca="false">Hypotheses!D9*(Hypotheses!D10*Hypotheses!D13+Hypotheses!D11*Hypotheses!D14+Hypotheses!D12*Hypotheses!D15)*(1-Hypotheses!D16/2)</f>
        <v>789007.8</v>
      </c>
      <c r="D6" s="13" t="n">
        <f aca="false">Hypotheses!E9*(Hypotheses!E10*Hypotheses!E13+Hypotheses!E11*Hypotheses!E14+Hypotheses!E12*Hypotheses!E15)*(1-Hypotheses!E16/2)</f>
        <v>1812776.7</v>
      </c>
      <c r="E6" s="14" t="n">
        <f aca="false">IFERROR((D6/B6)^(1/2)-1,0)</f>
        <v>1.66662337828854</v>
      </c>
      <c r="F6" s="15" t="s">
        <v>82</v>
      </c>
    </row>
    <row r="7" customFormat="false" ht="15" hidden="false" customHeight="true" outlineLevel="0" collapsed="false">
      <c r="A7" s="1" t="s">
        <v>83</v>
      </c>
      <c r="B7" s="13" t="n">
        <f aca="false">Hypotheses!C20*Hypotheses!C21*(1-Hypotheses!C28/2)</f>
        <v>270000</v>
      </c>
      <c r="C7" s="13" t="n">
        <f aca="false">Hypotheses!D20*Hypotheses!D21*(1-Hypotheses!D28/2)</f>
        <v>1017500</v>
      </c>
      <c r="D7" s="13" t="n">
        <f aca="false">Hypotheses!E20*Hypotheses!E21*(1-Hypotheses!E28/2)</f>
        <v>3177200</v>
      </c>
      <c r="E7" s="14" t="n">
        <f aca="false">IFERROR((D7/B7)^(1/2)-1,0)</f>
        <v>2.43036549181095</v>
      </c>
      <c r="F7" s="15" t="s">
        <v>82</v>
      </c>
    </row>
    <row r="8" customFormat="false" ht="15" hidden="false" customHeight="true" outlineLevel="0" collapsed="false">
      <c r="A8" s="16" t="s">
        <v>84</v>
      </c>
      <c r="B8" s="17" t="n">
        <f aca="false">B6+B7</f>
        <v>524930</v>
      </c>
      <c r="C8" s="17" t="n">
        <f aca="false">C6+C7</f>
        <v>1806507.8</v>
      </c>
      <c r="D8" s="17" t="n">
        <f aca="false">D6+D7</f>
        <v>4989976.7</v>
      </c>
      <c r="E8" s="18" t="n">
        <f aca="false">IFERROR((D8/B8)^(1/2)-1,0)</f>
        <v>2.08317774195304</v>
      </c>
    </row>
    <row r="10" customFormat="false" ht="15" hidden="false" customHeight="true" outlineLevel="0" collapsed="false">
      <c r="A10" s="4" t="s">
        <v>85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1" t="s">
        <v>86</v>
      </c>
      <c r="B11" s="13" t="n">
        <f aca="false">Hypotheses!C37+(Hypotheses!C32*Hypotheses!C33*Hypotheses!C34)</f>
        <v>104000</v>
      </c>
      <c r="C11" s="13" t="n">
        <f aca="false">Hypotheses!D37+(Hypotheses!D32*Hypotheses!D33*Hypotheses!D34)</f>
        <v>153120</v>
      </c>
      <c r="D11" s="13" t="n">
        <f aca="false">Hypotheses!E37+(Hypotheses!E32*Hypotheses!E33*Hypotheses!E34)</f>
        <v>221056</v>
      </c>
      <c r="E11" s="14" t="n">
        <f aca="false">IFERROR((D11/B11)^(1/2)-1,0)</f>
        <v>0.457922652796938</v>
      </c>
      <c r="F11" s="15" t="s">
        <v>87</v>
      </c>
    </row>
    <row r="12" customFormat="false" ht="15" hidden="false" customHeight="true" outlineLevel="0" collapsed="false">
      <c r="A12" s="16" t="s">
        <v>88</v>
      </c>
      <c r="B12" s="17" t="n">
        <f aca="false">B8-B11</f>
        <v>420930</v>
      </c>
      <c r="C12" s="17" t="n">
        <f aca="false">C8-C11</f>
        <v>1653387.8</v>
      </c>
      <c r="D12" s="17" t="n">
        <f aca="false">D8-D11</f>
        <v>4768920.7</v>
      </c>
      <c r="E12" s="18" t="n">
        <f aca="false">IFERROR((D12/B12)^(1/2)-1,0)</f>
        <v>2.36593023923652</v>
      </c>
    </row>
    <row r="13" customFormat="false" ht="15" hidden="false" customHeight="true" outlineLevel="0" collapsed="false">
      <c r="A13" s="1" t="s">
        <v>89</v>
      </c>
      <c r="B13" s="14" t="n">
        <f aca="false">IFERROR(B12/B8,0)</f>
        <v>0.801878345684187</v>
      </c>
      <c r="C13" s="14" t="n">
        <f aca="false">IFERROR(C12/C8,0)</f>
        <v>0.915239779202725</v>
      </c>
      <c r="D13" s="14" t="n">
        <f aca="false">IFERROR(D12/D8,0)</f>
        <v>0.955699993549068</v>
      </c>
    </row>
    <row r="15" customFormat="false" ht="15" hidden="false" customHeight="true" outlineLevel="0" collapsed="false">
      <c r="A15" s="4" t="s">
        <v>90</v>
      </c>
      <c r="B15" s="4"/>
      <c r="C15" s="4"/>
      <c r="D15" s="4"/>
      <c r="E15" s="4"/>
      <c r="F15" s="4"/>
    </row>
    <row r="16" customFormat="false" ht="15" hidden="false" customHeight="true" outlineLevel="0" collapsed="false">
      <c r="A16" s="1" t="s">
        <v>91</v>
      </c>
      <c r="B16" s="13" t="n">
        <f aca="false">Hypotheses!C32*Hypotheses!C33*(1-Hypotheses!C34)</f>
        <v>144000</v>
      </c>
      <c r="C16" s="13" t="n">
        <f aca="false">Hypotheses!D32*Hypotheses!D33*(1-Hypotheses!D34)</f>
        <v>199680</v>
      </c>
      <c r="D16" s="13" t="n">
        <f aca="false">Hypotheses!E32*Hypotheses!E33*(1-Hypotheses!E34)</f>
        <v>259584</v>
      </c>
      <c r="E16" s="14" t="n">
        <f aca="false">IFERROR((D16/B16)^(1/2)-1,0)</f>
        <v>0.342634226685238</v>
      </c>
      <c r="F16" s="15" t="s">
        <v>92</v>
      </c>
    </row>
    <row r="17" customFormat="false" ht="15" hidden="false" customHeight="true" outlineLevel="0" collapsed="false">
      <c r="A17" s="1" t="s">
        <v>93</v>
      </c>
      <c r="B17" s="13" t="n">
        <f aca="false">Hypotheses!C35*Hypotheses!C36</f>
        <v>120000</v>
      </c>
      <c r="C17" s="13" t="n">
        <f aca="false">Hypotheses!D35*Hypotheses!D36</f>
        <v>312000</v>
      </c>
      <c r="D17" s="13" t="n">
        <f aca="false">Hypotheses!E35*Hypotheses!E36</f>
        <v>584064</v>
      </c>
      <c r="E17" s="14" t="n">
        <f aca="false">IFERROR((D17/B17)^(1/2)-1,0)</f>
        <v>1.20617315730203</v>
      </c>
    </row>
    <row r="18" customFormat="false" ht="15" hidden="false" customHeight="true" outlineLevel="0" collapsed="false">
      <c r="A18" s="1" t="s">
        <v>94</v>
      </c>
      <c r="B18" s="19" t="n">
        <f aca="false">B8*Hypotheses!C38</f>
        <v>62991.6</v>
      </c>
      <c r="C18" s="19" t="n">
        <f aca="false">C8*Hypotheses!D38</f>
        <v>180650.78</v>
      </c>
      <c r="D18" s="19" t="n">
        <f aca="false">D8*Hypotheses!E38</f>
        <v>399198.136</v>
      </c>
      <c r="E18" s="14" t="n">
        <f aca="false">IFERROR((D18/B18)^(1/2)-1,0)</f>
        <v>1.51740408469712</v>
      </c>
    </row>
    <row r="19" customFormat="false" ht="15" hidden="false" customHeight="true" outlineLevel="0" collapsed="false">
      <c r="A19" s="1" t="s">
        <v>95</v>
      </c>
      <c r="B19" s="19" t="n">
        <f aca="false">B8*Hypotheses!C39</f>
        <v>94487.4</v>
      </c>
      <c r="C19" s="19" t="n">
        <f aca="false">C8*Hypotheses!D39</f>
        <v>252911.092</v>
      </c>
      <c r="D19" s="19" t="n">
        <f aca="false">D8*Hypotheses!E39</f>
        <v>598797.204</v>
      </c>
      <c r="E19" s="14" t="n">
        <f aca="false">IFERROR((D19/B19)^(1/2)-1,0)</f>
        <v>1.51740408469712</v>
      </c>
    </row>
    <row r="20" customFormat="false" ht="15" hidden="false" customHeight="true" outlineLevel="0" collapsed="false">
      <c r="A20" s="16" t="s">
        <v>96</v>
      </c>
      <c r="B20" s="17" t="n">
        <f aca="false">SUM(B16:B19)</f>
        <v>421479</v>
      </c>
      <c r="C20" s="17" t="n">
        <f aca="false">SUM(C16:C19)</f>
        <v>945241.872</v>
      </c>
      <c r="D20" s="17" t="n">
        <f aca="false">SUM(D16:D19)</f>
        <v>1841643.34</v>
      </c>
      <c r="E20" s="18" t="n">
        <f aca="false">IFERROR((D20/B20)^(1/2)-1,0)</f>
        <v>1.0903297083348</v>
      </c>
    </row>
    <row r="22" customFormat="false" ht="15" hidden="false" customHeight="true" outlineLevel="0" collapsed="false">
      <c r="A22" s="4" t="s">
        <v>97</v>
      </c>
      <c r="B22" s="4"/>
      <c r="C22" s="4"/>
      <c r="D22" s="4"/>
      <c r="E22" s="4"/>
      <c r="F22" s="4"/>
    </row>
    <row r="23" customFormat="false" ht="15" hidden="false" customHeight="true" outlineLevel="0" collapsed="false">
      <c r="A23" s="20" t="s">
        <v>98</v>
      </c>
      <c r="B23" s="21" t="n">
        <f aca="false">B12-B20</f>
        <v>-549</v>
      </c>
      <c r="C23" s="21" t="n">
        <f aca="false">C12-C20</f>
        <v>708145.928</v>
      </c>
      <c r="D23" s="21" t="n">
        <f aca="false">D12-D20</f>
        <v>2927277.36</v>
      </c>
      <c r="E23" s="22" t="n">
        <f aca="false">IFERROR((D23/B23)^(1/2)-1,0)</f>
        <v>0</v>
      </c>
    </row>
    <row r="24" customFormat="false" ht="15" hidden="false" customHeight="true" outlineLevel="0" collapsed="false">
      <c r="A24" s="1" t="s">
        <v>99</v>
      </c>
      <c r="B24" s="14" t="n">
        <f aca="false">IFERROR(B23/B8,0)</f>
        <v>-0.00104585373287867</v>
      </c>
      <c r="C24" s="14" t="n">
        <f aca="false">IFERROR(C23/C8,0)</f>
        <v>0.391997160488319</v>
      </c>
      <c r="D24" s="14" t="n">
        <f aca="false">IFERROR(D23/D8,0)</f>
        <v>0.586631468639924</v>
      </c>
    </row>
  </sheetData>
  <mergeCells count="6">
    <mergeCell ref="A1:F1"/>
    <mergeCell ref="A2:F2"/>
    <mergeCell ref="A5:F5"/>
    <mergeCell ref="A10:F10"/>
    <mergeCell ref="A15:F15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3"/>
  </cols>
  <sheetData>
    <row r="1" customFormat="false" ht="15" hidden="false" customHeight="true" outlineLevel="0" collapsed="false">
      <c r="A1" s="2" t="s">
        <v>100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23" t="s">
        <v>101</v>
      </c>
      <c r="B3" s="23"/>
      <c r="C3" s="23"/>
      <c r="D3" s="23"/>
      <c r="E3" s="23"/>
      <c r="F3" s="23"/>
      <c r="G3" s="23"/>
      <c r="H3" s="23"/>
      <c r="I3" s="23"/>
    </row>
    <row r="4" customFormat="false" ht="26.25" hidden="false" customHeight="true" outlineLevel="0" collapsed="false">
      <c r="A4" s="24" t="s">
        <v>102</v>
      </c>
      <c r="B4" s="25" t="n">
        <v>10000</v>
      </c>
      <c r="C4" s="25" t="n">
        <v>12000</v>
      </c>
      <c r="D4" s="25" t="n">
        <v>15000</v>
      </c>
      <c r="E4" s="25" t="n">
        <v>18000</v>
      </c>
      <c r="F4" s="25" t="n">
        <v>20000</v>
      </c>
      <c r="G4" s="25" t="n">
        <v>23000</v>
      </c>
      <c r="H4" s="25" t="n">
        <v>26000</v>
      </c>
    </row>
    <row r="5" customFormat="false" ht="15" hidden="false" customHeight="true" outlineLevel="0" collapsed="false">
      <c r="A5" s="26" t="n">
        <v>0.03</v>
      </c>
      <c r="B5" s="27" t="n">
        <f aca="false">ROUND(Hypotheses!$C$6*Hypotheses!$C$7*$A5,0)*(Hypotheses!$C$10*Hypotheses!$C$13+Hypotheses!$C$11*Hypotheses!$C$14+Hypotheses!$C$12*Hypotheses!$C$15)*(1-Hypotheses!$C$16/2)+Hypotheses!$C$20*B$4*(1-Hypotheses!$C$28/2)</f>
        <v>336880</v>
      </c>
      <c r="C5" s="27" t="n">
        <f aca="false">ROUND(Hypotheses!$C$6*Hypotheses!$C$7*$A5,0)*(Hypotheses!$C$10*Hypotheses!$C$13+Hypotheses!$C$11*Hypotheses!$C$14+Hypotheses!$C$12*Hypotheses!$C$15)*(1-Hypotheses!$C$16/2)+Hypotheses!$C$20*C$4*(1-Hypotheses!$C$28/2)</f>
        <v>372880</v>
      </c>
      <c r="D5" s="27" t="n">
        <f aca="false">ROUND(Hypotheses!$C$6*Hypotheses!$C$7*$A5,0)*(Hypotheses!$C$10*Hypotheses!$C$13+Hypotheses!$C$11*Hypotheses!$C$14+Hypotheses!$C$12*Hypotheses!$C$15)*(1-Hypotheses!$C$16/2)+Hypotheses!$C$20*D$4*(1-Hypotheses!$C$28/2)</f>
        <v>426880</v>
      </c>
      <c r="E5" s="27" t="n">
        <f aca="false">ROUND(Hypotheses!$C$6*Hypotheses!$C$7*$A5,0)*(Hypotheses!$C$10*Hypotheses!$C$13+Hypotheses!$C$11*Hypotheses!$C$14+Hypotheses!$C$12*Hypotheses!$C$15)*(1-Hypotheses!$C$16/2)+Hypotheses!$C$20*E$4*(1-Hypotheses!$C$28/2)</f>
        <v>480880</v>
      </c>
      <c r="F5" s="27" t="n">
        <f aca="false">ROUND(Hypotheses!$C$6*Hypotheses!$C$7*$A5,0)*(Hypotheses!$C$10*Hypotheses!$C$13+Hypotheses!$C$11*Hypotheses!$C$14+Hypotheses!$C$12*Hypotheses!$C$15)*(1-Hypotheses!$C$16/2)+Hypotheses!$C$20*F$4*(1-Hypotheses!$C$28/2)</f>
        <v>516880</v>
      </c>
      <c r="G5" s="27" t="n">
        <f aca="false">ROUND(Hypotheses!$C$6*Hypotheses!$C$7*$A5,0)*(Hypotheses!$C$10*Hypotheses!$C$13+Hypotheses!$C$11*Hypotheses!$C$14+Hypotheses!$C$12*Hypotheses!$C$15)*(1-Hypotheses!$C$16/2)+Hypotheses!$C$20*G$4*(1-Hypotheses!$C$28/2)</f>
        <v>570880</v>
      </c>
      <c r="H5" s="27" t="n">
        <f aca="false">ROUND(Hypotheses!$C$6*Hypotheses!$C$7*$A5,0)*(Hypotheses!$C$10*Hypotheses!$C$13+Hypotheses!$C$11*Hypotheses!$C$14+Hypotheses!$C$12*Hypotheses!$C$15)*(1-Hypotheses!$C$16/2)+Hypotheses!$C$20*H$4*(1-Hypotheses!$C$28/2)</f>
        <v>624880</v>
      </c>
    </row>
    <row r="6" customFormat="false" ht="15" hidden="false" customHeight="true" outlineLevel="0" collapsed="false">
      <c r="A6" s="26" t="n">
        <v>0.04</v>
      </c>
      <c r="B6" s="27" t="n">
        <f aca="false">ROUND(Hypotheses!$C$6*Hypotheses!$C$7*$A6,0)*(Hypotheses!$C$10*Hypotheses!$C$13+Hypotheses!$C$11*Hypotheses!$C$14+Hypotheses!$C$12*Hypotheses!$C$15)*(1-Hypotheses!$C$16/2)+Hypotheses!$C$20*B$4*(1-Hypotheses!$C$28/2)</f>
        <v>385905</v>
      </c>
      <c r="C6" s="27" t="n">
        <f aca="false">ROUND(Hypotheses!$C$6*Hypotheses!$C$7*$A6,0)*(Hypotheses!$C$10*Hypotheses!$C$13+Hypotheses!$C$11*Hypotheses!$C$14+Hypotheses!$C$12*Hypotheses!$C$15)*(1-Hypotheses!$C$16/2)+Hypotheses!$C$20*C$4*(1-Hypotheses!$C$28/2)</f>
        <v>421905</v>
      </c>
      <c r="D6" s="27" t="n">
        <f aca="false">ROUND(Hypotheses!$C$6*Hypotheses!$C$7*$A6,0)*(Hypotheses!$C$10*Hypotheses!$C$13+Hypotheses!$C$11*Hypotheses!$C$14+Hypotheses!$C$12*Hypotheses!$C$15)*(1-Hypotheses!$C$16/2)+Hypotheses!$C$20*D$4*(1-Hypotheses!$C$28/2)</f>
        <v>475905</v>
      </c>
      <c r="E6" s="27" t="n">
        <f aca="false">ROUND(Hypotheses!$C$6*Hypotheses!$C$7*$A6,0)*(Hypotheses!$C$10*Hypotheses!$C$13+Hypotheses!$C$11*Hypotheses!$C$14+Hypotheses!$C$12*Hypotheses!$C$15)*(1-Hypotheses!$C$16/2)+Hypotheses!$C$20*E$4*(1-Hypotheses!$C$28/2)</f>
        <v>529905</v>
      </c>
      <c r="F6" s="27" t="n">
        <f aca="false">ROUND(Hypotheses!$C$6*Hypotheses!$C$7*$A6,0)*(Hypotheses!$C$10*Hypotheses!$C$13+Hypotheses!$C$11*Hypotheses!$C$14+Hypotheses!$C$12*Hypotheses!$C$15)*(1-Hypotheses!$C$16/2)+Hypotheses!$C$20*F$4*(1-Hypotheses!$C$28/2)</f>
        <v>565905</v>
      </c>
      <c r="G6" s="27" t="n">
        <f aca="false">ROUND(Hypotheses!$C$6*Hypotheses!$C$7*$A6,0)*(Hypotheses!$C$10*Hypotheses!$C$13+Hypotheses!$C$11*Hypotheses!$C$14+Hypotheses!$C$12*Hypotheses!$C$15)*(1-Hypotheses!$C$16/2)+Hypotheses!$C$20*G$4*(1-Hypotheses!$C$28/2)</f>
        <v>619905</v>
      </c>
      <c r="H6" s="27" t="n">
        <f aca="false">ROUND(Hypotheses!$C$6*Hypotheses!$C$7*$A6,0)*(Hypotheses!$C$10*Hypotheses!$C$13+Hypotheses!$C$11*Hypotheses!$C$14+Hypotheses!$C$12*Hypotheses!$C$15)*(1-Hypotheses!$C$16/2)+Hypotheses!$C$20*H$4*(1-Hypotheses!$C$28/2)</f>
        <v>673905</v>
      </c>
    </row>
    <row r="7" customFormat="false" ht="15" hidden="false" customHeight="true" outlineLevel="0" collapsed="false">
      <c r="A7" s="26" t="n">
        <v>0.05</v>
      </c>
      <c r="B7" s="27" t="n">
        <f aca="false">ROUND(Hypotheses!$C$6*Hypotheses!$C$7*$A7,0)*(Hypotheses!$C$10*Hypotheses!$C$13+Hypotheses!$C$11*Hypotheses!$C$14+Hypotheses!$C$12*Hypotheses!$C$15)*(1-Hypotheses!$C$16/2)+Hypotheses!$C$20*B$4*(1-Hypotheses!$C$28/2)</f>
        <v>434930</v>
      </c>
      <c r="C7" s="27" t="n">
        <f aca="false">ROUND(Hypotheses!$C$6*Hypotheses!$C$7*$A7,0)*(Hypotheses!$C$10*Hypotheses!$C$13+Hypotheses!$C$11*Hypotheses!$C$14+Hypotheses!$C$12*Hypotheses!$C$15)*(1-Hypotheses!$C$16/2)+Hypotheses!$C$20*C$4*(1-Hypotheses!$C$28/2)</f>
        <v>470930</v>
      </c>
      <c r="D7" s="27" t="n">
        <f aca="false">ROUND(Hypotheses!$C$6*Hypotheses!$C$7*$A7,0)*(Hypotheses!$C$10*Hypotheses!$C$13+Hypotheses!$C$11*Hypotheses!$C$14+Hypotheses!$C$12*Hypotheses!$C$15)*(1-Hypotheses!$C$16/2)+Hypotheses!$C$20*D$4*(1-Hypotheses!$C$28/2)</f>
        <v>524930</v>
      </c>
      <c r="E7" s="27" t="n">
        <f aca="false">ROUND(Hypotheses!$C$6*Hypotheses!$C$7*$A7,0)*(Hypotheses!$C$10*Hypotheses!$C$13+Hypotheses!$C$11*Hypotheses!$C$14+Hypotheses!$C$12*Hypotheses!$C$15)*(1-Hypotheses!$C$16/2)+Hypotheses!$C$20*E$4*(1-Hypotheses!$C$28/2)</f>
        <v>578930</v>
      </c>
      <c r="F7" s="27" t="n">
        <f aca="false">ROUND(Hypotheses!$C$6*Hypotheses!$C$7*$A7,0)*(Hypotheses!$C$10*Hypotheses!$C$13+Hypotheses!$C$11*Hypotheses!$C$14+Hypotheses!$C$12*Hypotheses!$C$15)*(1-Hypotheses!$C$16/2)+Hypotheses!$C$20*F$4*(1-Hypotheses!$C$28/2)</f>
        <v>614930</v>
      </c>
      <c r="G7" s="27" t="n">
        <f aca="false">ROUND(Hypotheses!$C$6*Hypotheses!$C$7*$A7,0)*(Hypotheses!$C$10*Hypotheses!$C$13+Hypotheses!$C$11*Hypotheses!$C$14+Hypotheses!$C$12*Hypotheses!$C$15)*(1-Hypotheses!$C$16/2)+Hypotheses!$C$20*G$4*(1-Hypotheses!$C$28/2)</f>
        <v>668930</v>
      </c>
      <c r="H7" s="27" t="n">
        <f aca="false">ROUND(Hypotheses!$C$6*Hypotheses!$C$7*$A7,0)*(Hypotheses!$C$10*Hypotheses!$C$13+Hypotheses!$C$11*Hypotheses!$C$14+Hypotheses!$C$12*Hypotheses!$C$15)*(1-Hypotheses!$C$16/2)+Hypotheses!$C$20*H$4*(1-Hypotheses!$C$28/2)</f>
        <v>722930</v>
      </c>
    </row>
    <row r="8" customFormat="false" ht="15" hidden="false" customHeight="true" outlineLevel="0" collapsed="false">
      <c r="A8" s="26" t="n">
        <v>0.06</v>
      </c>
      <c r="B8" s="27" t="n">
        <f aca="false">ROUND(Hypotheses!$C$6*Hypotheses!$C$7*$A8,0)*(Hypotheses!$C$10*Hypotheses!$C$13+Hypotheses!$C$11*Hypotheses!$C$14+Hypotheses!$C$12*Hypotheses!$C$15)*(1-Hypotheses!$C$16/2)+Hypotheses!$C$20*B$4*(1-Hypotheses!$C$28/2)</f>
        <v>493760</v>
      </c>
      <c r="C8" s="27" t="n">
        <f aca="false">ROUND(Hypotheses!$C$6*Hypotheses!$C$7*$A8,0)*(Hypotheses!$C$10*Hypotheses!$C$13+Hypotheses!$C$11*Hypotheses!$C$14+Hypotheses!$C$12*Hypotheses!$C$15)*(1-Hypotheses!$C$16/2)+Hypotheses!$C$20*C$4*(1-Hypotheses!$C$28/2)</f>
        <v>529760</v>
      </c>
      <c r="D8" s="27" t="n">
        <f aca="false">ROUND(Hypotheses!$C$6*Hypotheses!$C$7*$A8,0)*(Hypotheses!$C$10*Hypotheses!$C$13+Hypotheses!$C$11*Hypotheses!$C$14+Hypotheses!$C$12*Hypotheses!$C$15)*(1-Hypotheses!$C$16/2)+Hypotheses!$C$20*D$4*(1-Hypotheses!$C$28/2)</f>
        <v>583760</v>
      </c>
      <c r="E8" s="27" t="n">
        <f aca="false">ROUND(Hypotheses!$C$6*Hypotheses!$C$7*$A8,0)*(Hypotheses!$C$10*Hypotheses!$C$13+Hypotheses!$C$11*Hypotheses!$C$14+Hypotheses!$C$12*Hypotheses!$C$15)*(1-Hypotheses!$C$16/2)+Hypotheses!$C$20*E$4*(1-Hypotheses!$C$28/2)</f>
        <v>637760</v>
      </c>
      <c r="F8" s="27" t="n">
        <f aca="false">ROUND(Hypotheses!$C$6*Hypotheses!$C$7*$A8,0)*(Hypotheses!$C$10*Hypotheses!$C$13+Hypotheses!$C$11*Hypotheses!$C$14+Hypotheses!$C$12*Hypotheses!$C$15)*(1-Hypotheses!$C$16/2)+Hypotheses!$C$20*F$4*(1-Hypotheses!$C$28/2)</f>
        <v>673760</v>
      </c>
      <c r="G8" s="27" t="n">
        <f aca="false">ROUND(Hypotheses!$C$6*Hypotheses!$C$7*$A8,0)*(Hypotheses!$C$10*Hypotheses!$C$13+Hypotheses!$C$11*Hypotheses!$C$14+Hypotheses!$C$12*Hypotheses!$C$15)*(1-Hypotheses!$C$16/2)+Hypotheses!$C$20*G$4*(1-Hypotheses!$C$28/2)</f>
        <v>727760</v>
      </c>
      <c r="H8" s="27" t="n">
        <f aca="false">ROUND(Hypotheses!$C$6*Hypotheses!$C$7*$A8,0)*(Hypotheses!$C$10*Hypotheses!$C$13+Hypotheses!$C$11*Hypotheses!$C$14+Hypotheses!$C$12*Hypotheses!$C$15)*(1-Hypotheses!$C$16/2)+Hypotheses!$C$20*H$4*(1-Hypotheses!$C$28/2)</f>
        <v>781760</v>
      </c>
    </row>
    <row r="9" customFormat="false" ht="15" hidden="false" customHeight="true" outlineLevel="0" collapsed="false">
      <c r="A9" s="26" t="n">
        <v>0.07</v>
      </c>
      <c r="B9" s="27" t="n">
        <f aca="false">ROUND(Hypotheses!$C$6*Hypotheses!$C$7*$A9,0)*(Hypotheses!$C$10*Hypotheses!$C$13+Hypotheses!$C$11*Hypotheses!$C$14+Hypotheses!$C$12*Hypotheses!$C$15)*(1-Hypotheses!$C$16/2)+Hypotheses!$C$20*B$4*(1-Hypotheses!$C$28/2)</f>
        <v>542785</v>
      </c>
      <c r="C9" s="27" t="n">
        <f aca="false">ROUND(Hypotheses!$C$6*Hypotheses!$C$7*$A9,0)*(Hypotheses!$C$10*Hypotheses!$C$13+Hypotheses!$C$11*Hypotheses!$C$14+Hypotheses!$C$12*Hypotheses!$C$15)*(1-Hypotheses!$C$16/2)+Hypotheses!$C$20*C$4*(1-Hypotheses!$C$28/2)</f>
        <v>578785</v>
      </c>
      <c r="D9" s="27" t="n">
        <f aca="false">ROUND(Hypotheses!$C$6*Hypotheses!$C$7*$A9,0)*(Hypotheses!$C$10*Hypotheses!$C$13+Hypotheses!$C$11*Hypotheses!$C$14+Hypotheses!$C$12*Hypotheses!$C$15)*(1-Hypotheses!$C$16/2)+Hypotheses!$C$20*D$4*(1-Hypotheses!$C$28/2)</f>
        <v>632785</v>
      </c>
      <c r="E9" s="27" t="n">
        <f aca="false">ROUND(Hypotheses!$C$6*Hypotheses!$C$7*$A9,0)*(Hypotheses!$C$10*Hypotheses!$C$13+Hypotheses!$C$11*Hypotheses!$C$14+Hypotheses!$C$12*Hypotheses!$C$15)*(1-Hypotheses!$C$16/2)+Hypotheses!$C$20*E$4*(1-Hypotheses!$C$28/2)</f>
        <v>686785</v>
      </c>
      <c r="F9" s="27" t="n">
        <f aca="false">ROUND(Hypotheses!$C$6*Hypotheses!$C$7*$A9,0)*(Hypotheses!$C$10*Hypotheses!$C$13+Hypotheses!$C$11*Hypotheses!$C$14+Hypotheses!$C$12*Hypotheses!$C$15)*(1-Hypotheses!$C$16/2)+Hypotheses!$C$20*F$4*(1-Hypotheses!$C$28/2)</f>
        <v>722785</v>
      </c>
      <c r="G9" s="27" t="n">
        <f aca="false">ROUND(Hypotheses!$C$6*Hypotheses!$C$7*$A9,0)*(Hypotheses!$C$10*Hypotheses!$C$13+Hypotheses!$C$11*Hypotheses!$C$14+Hypotheses!$C$12*Hypotheses!$C$15)*(1-Hypotheses!$C$16/2)+Hypotheses!$C$20*G$4*(1-Hypotheses!$C$28/2)</f>
        <v>776785</v>
      </c>
      <c r="H9" s="27" t="n">
        <f aca="false">ROUND(Hypotheses!$C$6*Hypotheses!$C$7*$A9,0)*(Hypotheses!$C$10*Hypotheses!$C$13+Hypotheses!$C$11*Hypotheses!$C$14+Hypotheses!$C$12*Hypotheses!$C$15)*(1-Hypotheses!$C$16/2)+Hypotheses!$C$20*H$4*(1-Hypotheses!$C$28/2)</f>
        <v>830785</v>
      </c>
    </row>
    <row r="10" customFormat="false" ht="15" hidden="false" customHeight="true" outlineLevel="0" collapsed="false">
      <c r="A10" s="26" t="n">
        <v>0.08</v>
      </c>
      <c r="B10" s="27" t="n">
        <f aca="false">ROUND(Hypotheses!$C$6*Hypotheses!$C$7*$A10,0)*(Hypotheses!$C$10*Hypotheses!$C$13+Hypotheses!$C$11*Hypotheses!$C$14+Hypotheses!$C$12*Hypotheses!$C$15)*(1-Hypotheses!$C$16/2)+Hypotheses!$C$20*B$4*(1-Hypotheses!$C$28/2)</f>
        <v>591810</v>
      </c>
      <c r="C10" s="27" t="n">
        <f aca="false">ROUND(Hypotheses!$C$6*Hypotheses!$C$7*$A10,0)*(Hypotheses!$C$10*Hypotheses!$C$13+Hypotheses!$C$11*Hypotheses!$C$14+Hypotheses!$C$12*Hypotheses!$C$15)*(1-Hypotheses!$C$16/2)+Hypotheses!$C$20*C$4*(1-Hypotheses!$C$28/2)</f>
        <v>627810</v>
      </c>
      <c r="D10" s="27" t="n">
        <f aca="false">ROUND(Hypotheses!$C$6*Hypotheses!$C$7*$A10,0)*(Hypotheses!$C$10*Hypotheses!$C$13+Hypotheses!$C$11*Hypotheses!$C$14+Hypotheses!$C$12*Hypotheses!$C$15)*(1-Hypotheses!$C$16/2)+Hypotheses!$C$20*D$4*(1-Hypotheses!$C$28/2)</f>
        <v>681810</v>
      </c>
      <c r="E10" s="27" t="n">
        <f aca="false">ROUND(Hypotheses!$C$6*Hypotheses!$C$7*$A10,0)*(Hypotheses!$C$10*Hypotheses!$C$13+Hypotheses!$C$11*Hypotheses!$C$14+Hypotheses!$C$12*Hypotheses!$C$15)*(1-Hypotheses!$C$16/2)+Hypotheses!$C$20*E$4*(1-Hypotheses!$C$28/2)</f>
        <v>735810</v>
      </c>
      <c r="F10" s="27" t="n">
        <f aca="false">ROUND(Hypotheses!$C$6*Hypotheses!$C$7*$A10,0)*(Hypotheses!$C$10*Hypotheses!$C$13+Hypotheses!$C$11*Hypotheses!$C$14+Hypotheses!$C$12*Hypotheses!$C$15)*(1-Hypotheses!$C$16/2)+Hypotheses!$C$20*F$4*(1-Hypotheses!$C$28/2)</f>
        <v>771810</v>
      </c>
      <c r="G10" s="27" t="n">
        <f aca="false">ROUND(Hypotheses!$C$6*Hypotheses!$C$7*$A10,0)*(Hypotheses!$C$10*Hypotheses!$C$13+Hypotheses!$C$11*Hypotheses!$C$14+Hypotheses!$C$12*Hypotheses!$C$15)*(1-Hypotheses!$C$16/2)+Hypotheses!$C$20*G$4*(1-Hypotheses!$C$28/2)</f>
        <v>825810</v>
      </c>
      <c r="H10" s="27" t="n">
        <f aca="false">ROUND(Hypotheses!$C$6*Hypotheses!$C$7*$A10,0)*(Hypotheses!$C$10*Hypotheses!$C$13+Hypotheses!$C$11*Hypotheses!$C$14+Hypotheses!$C$12*Hypotheses!$C$15)*(1-Hypotheses!$C$16/2)+Hypotheses!$C$20*H$4*(1-Hypotheses!$C$28/2)</f>
        <v>879810</v>
      </c>
    </row>
    <row r="11" customFormat="false" ht="15" hidden="false" customHeight="true" outlineLevel="0" collapsed="false">
      <c r="A11" s="26" t="n">
        <v>0.1</v>
      </c>
      <c r="B11" s="27" t="n">
        <f aca="false">ROUND(Hypotheses!$C$6*Hypotheses!$C$7*$A11,0)*(Hypotheses!$C$10*Hypotheses!$C$13+Hypotheses!$C$11*Hypotheses!$C$14+Hypotheses!$C$12*Hypotheses!$C$15)*(1-Hypotheses!$C$16/2)+Hypotheses!$C$20*B$4*(1-Hypotheses!$C$28/2)</f>
        <v>699665</v>
      </c>
      <c r="C11" s="27" t="n">
        <f aca="false">ROUND(Hypotheses!$C$6*Hypotheses!$C$7*$A11,0)*(Hypotheses!$C$10*Hypotheses!$C$13+Hypotheses!$C$11*Hypotheses!$C$14+Hypotheses!$C$12*Hypotheses!$C$15)*(1-Hypotheses!$C$16/2)+Hypotheses!$C$20*C$4*(1-Hypotheses!$C$28/2)</f>
        <v>735665</v>
      </c>
      <c r="D11" s="27" t="n">
        <f aca="false">ROUND(Hypotheses!$C$6*Hypotheses!$C$7*$A11,0)*(Hypotheses!$C$10*Hypotheses!$C$13+Hypotheses!$C$11*Hypotheses!$C$14+Hypotheses!$C$12*Hypotheses!$C$15)*(1-Hypotheses!$C$16/2)+Hypotheses!$C$20*D$4*(1-Hypotheses!$C$28/2)</f>
        <v>789665</v>
      </c>
      <c r="E11" s="27" t="n">
        <f aca="false">ROUND(Hypotheses!$C$6*Hypotheses!$C$7*$A11,0)*(Hypotheses!$C$10*Hypotheses!$C$13+Hypotheses!$C$11*Hypotheses!$C$14+Hypotheses!$C$12*Hypotheses!$C$15)*(1-Hypotheses!$C$16/2)+Hypotheses!$C$20*E$4*(1-Hypotheses!$C$28/2)</f>
        <v>843665</v>
      </c>
      <c r="F11" s="27" t="n">
        <f aca="false">ROUND(Hypotheses!$C$6*Hypotheses!$C$7*$A11,0)*(Hypotheses!$C$10*Hypotheses!$C$13+Hypotheses!$C$11*Hypotheses!$C$14+Hypotheses!$C$12*Hypotheses!$C$15)*(1-Hypotheses!$C$16/2)+Hypotheses!$C$20*F$4*(1-Hypotheses!$C$28/2)</f>
        <v>879665</v>
      </c>
      <c r="G11" s="27" t="n">
        <f aca="false">ROUND(Hypotheses!$C$6*Hypotheses!$C$7*$A11,0)*(Hypotheses!$C$10*Hypotheses!$C$13+Hypotheses!$C$11*Hypotheses!$C$14+Hypotheses!$C$12*Hypotheses!$C$15)*(1-Hypotheses!$C$16/2)+Hypotheses!$C$20*G$4*(1-Hypotheses!$C$28/2)</f>
        <v>933665</v>
      </c>
      <c r="H11" s="27" t="n">
        <f aca="false">ROUND(Hypotheses!$C$6*Hypotheses!$C$7*$A11,0)*(Hypotheses!$C$10*Hypotheses!$C$13+Hypotheses!$C$11*Hypotheses!$C$14+Hypotheses!$C$12*Hypotheses!$C$15)*(1-Hypotheses!$C$16/2)+Hypotheses!$C$20*H$4*(1-Hypotheses!$C$28/2)</f>
        <v>987665</v>
      </c>
    </row>
    <row r="13" customFormat="false" ht="15" hidden="false" customHeight="true" outlineLevel="0" collapsed="false">
      <c r="A13" s="23" t="s">
        <v>103</v>
      </c>
      <c r="B13" s="23"/>
      <c r="C13" s="23"/>
      <c r="D13" s="23"/>
      <c r="E13" s="23"/>
      <c r="F13" s="23"/>
      <c r="G13" s="23"/>
      <c r="H13" s="23"/>
      <c r="I13" s="23"/>
    </row>
    <row r="14" customFormat="false" ht="26.25" hidden="false" customHeight="true" outlineLevel="0" collapsed="false">
      <c r="A14" s="24" t="s">
        <v>102</v>
      </c>
      <c r="B14" s="25" t="n">
        <v>15000</v>
      </c>
      <c r="C14" s="25" t="n">
        <v>18000</v>
      </c>
      <c r="D14" s="25" t="n">
        <v>21000</v>
      </c>
      <c r="E14" s="25" t="n">
        <v>26000</v>
      </c>
      <c r="F14" s="25" t="n">
        <v>30000</v>
      </c>
      <c r="G14" s="25" t="n">
        <v>35000</v>
      </c>
      <c r="H14" s="25" t="n">
        <v>40000</v>
      </c>
    </row>
    <row r="15" customFormat="false" ht="15" hidden="false" customHeight="true" outlineLevel="0" collapsed="false">
      <c r="A15" s="26" t="n">
        <v>0.06</v>
      </c>
      <c r="B15" s="27" t="n">
        <f aca="false">(ROUND(Hypotheses!$E$6*Hypotheses!$E$7*$A15,0)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1271828.816</v>
      </c>
      <c r="C15" s="27" t="n">
        <f aca="false">(ROUND(Hypotheses!$E$6*Hypotheses!$E$7*$A15,0)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1565108.816</v>
      </c>
      <c r="D15" s="27" t="n">
        <f aca="false">(ROUND(Hypotheses!$E$6*Hypotheses!$E$7*$A15,0)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1858388.816</v>
      </c>
      <c r="E15" s="27" t="n">
        <f aca="false">(ROUND(Hypotheses!$E$6*Hypotheses!$E$7*$A15,0)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2347188.816</v>
      </c>
      <c r="F15" s="27" t="n">
        <f aca="false">(ROUND(Hypotheses!$E$6*Hypotheses!$E$7*$A15,0)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2738228.816</v>
      </c>
      <c r="G15" s="27" t="n">
        <f aca="false">(ROUND(Hypotheses!$E$6*Hypotheses!$E$7*$A15,0)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3227028.816</v>
      </c>
      <c r="H15" s="27" t="n">
        <f aca="false">(ROUND(Hypotheses!$E$6*Hypotheses!$E$7*$A15,0)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3715828.816</v>
      </c>
    </row>
    <row r="16" customFormat="false" ht="15" hidden="false" customHeight="true" outlineLevel="0" collapsed="false">
      <c r="A16" s="26" t="n">
        <v>0.07</v>
      </c>
      <c r="B16" s="27" t="n">
        <f aca="false">(ROUND(Hypotheses!$E$6*Hypotheses!$E$7*$A16,0)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1416850.952</v>
      </c>
      <c r="C16" s="27" t="n">
        <f aca="false">(ROUND(Hypotheses!$E$6*Hypotheses!$E$7*$A16,0)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1710130.952</v>
      </c>
      <c r="D16" s="27" t="n">
        <f aca="false">(ROUND(Hypotheses!$E$6*Hypotheses!$E$7*$A16,0)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2003410.952</v>
      </c>
      <c r="E16" s="27" t="n">
        <f aca="false">(ROUND(Hypotheses!$E$6*Hypotheses!$E$7*$A16,0)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2492210.952</v>
      </c>
      <c r="F16" s="27" t="n">
        <f aca="false">(ROUND(Hypotheses!$E$6*Hypotheses!$E$7*$A16,0)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2883250.952</v>
      </c>
      <c r="G16" s="27" t="n">
        <f aca="false">(ROUND(Hypotheses!$E$6*Hypotheses!$E$7*$A16,0)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3372050.952</v>
      </c>
      <c r="H16" s="27" t="n">
        <f aca="false">(ROUND(Hypotheses!$E$6*Hypotheses!$E$7*$A16,0)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3860850.952</v>
      </c>
    </row>
    <row r="17" customFormat="false" ht="15" hidden="false" customHeight="true" outlineLevel="0" collapsed="false">
      <c r="A17" s="26" t="n">
        <v>0.08</v>
      </c>
      <c r="B17" s="27" t="n">
        <f aca="false">(ROUND(Hypotheses!$E$6*Hypotheses!$E$7*$A17,0)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1561873.088</v>
      </c>
      <c r="C17" s="27" t="n">
        <f aca="false">(ROUND(Hypotheses!$E$6*Hypotheses!$E$7*$A17,0)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1855153.088</v>
      </c>
      <c r="D17" s="27" t="n">
        <f aca="false">(ROUND(Hypotheses!$E$6*Hypotheses!$E$7*$A17,0)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2148433.088</v>
      </c>
      <c r="E17" s="27" t="n">
        <f aca="false">(ROUND(Hypotheses!$E$6*Hypotheses!$E$7*$A17,0)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2637233.088</v>
      </c>
      <c r="F17" s="27" t="n">
        <f aca="false">(ROUND(Hypotheses!$E$6*Hypotheses!$E$7*$A17,0)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3028273.088</v>
      </c>
      <c r="G17" s="27" t="n">
        <f aca="false">(ROUND(Hypotheses!$E$6*Hypotheses!$E$7*$A17,0)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3517073.088</v>
      </c>
      <c r="H17" s="27" t="n">
        <f aca="false">(ROUND(Hypotheses!$E$6*Hypotheses!$E$7*$A17,0)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4005873.088</v>
      </c>
    </row>
    <row r="18" customFormat="false" ht="15" hidden="false" customHeight="true" outlineLevel="0" collapsed="false">
      <c r="A18" s="26" t="n">
        <v>0.1</v>
      </c>
      <c r="B18" s="27" t="n">
        <f aca="false">(ROUND(Hypotheses!$E$6*Hypotheses!$E$7*$A18,0)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1851917.36</v>
      </c>
      <c r="C18" s="27" t="n">
        <f aca="false">(ROUND(Hypotheses!$E$6*Hypotheses!$E$7*$A18,0)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2145197.36</v>
      </c>
      <c r="D18" s="27" t="n">
        <f aca="false">(ROUND(Hypotheses!$E$6*Hypotheses!$E$7*$A18,0)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2438477.36</v>
      </c>
      <c r="E18" s="27" t="n">
        <f aca="false">(ROUND(Hypotheses!$E$6*Hypotheses!$E$7*$A18,0)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2927277.36</v>
      </c>
      <c r="F18" s="27" t="n">
        <f aca="false">(ROUND(Hypotheses!$E$6*Hypotheses!$E$7*$A18,0)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3318317.36</v>
      </c>
      <c r="G18" s="27" t="n">
        <f aca="false">(ROUND(Hypotheses!$E$6*Hypotheses!$E$7*$A18,0)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3807117.36</v>
      </c>
      <c r="H18" s="27" t="n">
        <f aca="false">(ROUND(Hypotheses!$E$6*Hypotheses!$E$7*$A18,0)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4295917.36</v>
      </c>
    </row>
    <row r="19" customFormat="false" ht="15" hidden="false" customHeight="true" outlineLevel="0" collapsed="false">
      <c r="A19" s="26" t="n">
        <v>0.12</v>
      </c>
      <c r="B19" s="27" t="n">
        <f aca="false">(ROUND(Hypotheses!$E$6*Hypotheses!$E$7*$A19,0)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2141961.632</v>
      </c>
      <c r="C19" s="27" t="n">
        <f aca="false">(ROUND(Hypotheses!$E$6*Hypotheses!$E$7*$A19,0)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2435241.632</v>
      </c>
      <c r="D19" s="27" t="n">
        <f aca="false">(ROUND(Hypotheses!$E$6*Hypotheses!$E$7*$A19,0)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2728521.632</v>
      </c>
      <c r="E19" s="27" t="n">
        <f aca="false">(ROUND(Hypotheses!$E$6*Hypotheses!$E$7*$A19,0)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3217321.632</v>
      </c>
      <c r="F19" s="27" t="n">
        <f aca="false">(ROUND(Hypotheses!$E$6*Hypotheses!$E$7*$A19,0)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3608361.632</v>
      </c>
      <c r="G19" s="27" t="n">
        <f aca="false">(ROUND(Hypotheses!$E$6*Hypotheses!$E$7*$A19,0)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4097161.632</v>
      </c>
      <c r="H19" s="27" t="n">
        <f aca="false">(ROUND(Hypotheses!$E$6*Hypotheses!$E$7*$A19,0)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4585961.632</v>
      </c>
    </row>
    <row r="20" customFormat="false" ht="15" hidden="false" customHeight="true" outlineLevel="0" collapsed="false">
      <c r="A20" s="26" t="n">
        <v>0.14</v>
      </c>
      <c r="B20" s="27" t="n">
        <f aca="false">(ROUND(Hypotheses!$E$6*Hypotheses!$E$7*$A20,0)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2432005.904</v>
      </c>
      <c r="C20" s="27" t="n">
        <f aca="false">(ROUND(Hypotheses!$E$6*Hypotheses!$E$7*$A20,0)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2725285.904</v>
      </c>
      <c r="D20" s="27" t="n">
        <f aca="false">(ROUND(Hypotheses!$E$6*Hypotheses!$E$7*$A20,0)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3018565.904</v>
      </c>
      <c r="E20" s="27" t="n">
        <f aca="false">(ROUND(Hypotheses!$E$6*Hypotheses!$E$7*$A20,0)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3507365.904</v>
      </c>
      <c r="F20" s="27" t="n">
        <f aca="false">(ROUND(Hypotheses!$E$6*Hypotheses!$E$7*$A20,0)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3898405.904</v>
      </c>
      <c r="G20" s="27" t="n">
        <f aca="false">(ROUND(Hypotheses!$E$6*Hypotheses!$E$7*$A20,0)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4387205.904</v>
      </c>
      <c r="H20" s="27" t="n">
        <f aca="false">(ROUND(Hypotheses!$E$6*Hypotheses!$E$7*$A20,0)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4876005.904</v>
      </c>
    </row>
    <row r="21" customFormat="false" ht="15" hidden="false" customHeight="true" outlineLevel="0" collapsed="false">
      <c r="A21" s="26" t="n">
        <v>0.16</v>
      </c>
      <c r="B21" s="27" t="n">
        <f aca="false">(ROUND(Hypotheses!$E$6*Hypotheses!$E$7*$A21,0)*(Hypotheses!$E$10*Hypotheses!$E$13+Hypotheses!$E$11*Hypotheses!$E$14+Hypotheses!$E$12*Hypotheses!$E$15)*(1-Hypotheses!$E$16/2)+Hypotheses!$E$20*B$14*(1-Hypotheses!$E$28/2))*(1-(Hypotheses!$E$38+Hypotheses!$E$39))-(Hypotheses!$E$37+Hypotheses!$E$32*Hypotheses!$E$33*Hypotheses!$E$34)-(Hypotheses!$E$32*Hypotheses!$E$33*(1-Hypotheses!$E$34))-(Hypotheses!$E$35*Hypotheses!$E$36)</f>
        <v>2722050.176</v>
      </c>
      <c r="C21" s="27" t="n">
        <f aca="false">(ROUND(Hypotheses!$E$6*Hypotheses!$E$7*$A21,0)*(Hypotheses!$E$10*Hypotheses!$E$13+Hypotheses!$E$11*Hypotheses!$E$14+Hypotheses!$E$12*Hypotheses!$E$15)*(1-Hypotheses!$E$16/2)+Hypotheses!$E$20*C$14*(1-Hypotheses!$E$28/2))*(1-(Hypotheses!$E$38+Hypotheses!$E$39))-(Hypotheses!$E$37+Hypotheses!$E$32*Hypotheses!$E$33*Hypotheses!$E$34)-(Hypotheses!$E$32*Hypotheses!$E$33*(1-Hypotheses!$E$34))-(Hypotheses!$E$35*Hypotheses!$E$36)</f>
        <v>3015330.176</v>
      </c>
      <c r="D21" s="27" t="n">
        <f aca="false">(ROUND(Hypotheses!$E$6*Hypotheses!$E$7*$A21,0)*(Hypotheses!$E$10*Hypotheses!$E$13+Hypotheses!$E$11*Hypotheses!$E$14+Hypotheses!$E$12*Hypotheses!$E$15)*(1-Hypotheses!$E$16/2)+Hypotheses!$E$20*D$14*(1-Hypotheses!$E$28/2))*(1-(Hypotheses!$E$38+Hypotheses!$E$39))-(Hypotheses!$E$37+Hypotheses!$E$32*Hypotheses!$E$33*Hypotheses!$E$34)-(Hypotheses!$E$32*Hypotheses!$E$33*(1-Hypotheses!$E$34))-(Hypotheses!$E$35*Hypotheses!$E$36)</f>
        <v>3308610.176</v>
      </c>
      <c r="E21" s="27" t="n">
        <f aca="false">(ROUND(Hypotheses!$E$6*Hypotheses!$E$7*$A21,0)*(Hypotheses!$E$10*Hypotheses!$E$13+Hypotheses!$E$11*Hypotheses!$E$14+Hypotheses!$E$12*Hypotheses!$E$15)*(1-Hypotheses!$E$16/2)+Hypotheses!$E$20*E$14*(1-Hypotheses!$E$28/2))*(1-(Hypotheses!$E$38+Hypotheses!$E$39))-(Hypotheses!$E$37+Hypotheses!$E$32*Hypotheses!$E$33*Hypotheses!$E$34)-(Hypotheses!$E$32*Hypotheses!$E$33*(1-Hypotheses!$E$34))-(Hypotheses!$E$35*Hypotheses!$E$36)</f>
        <v>3797410.176</v>
      </c>
      <c r="F21" s="27" t="n">
        <f aca="false">(ROUND(Hypotheses!$E$6*Hypotheses!$E$7*$A21,0)*(Hypotheses!$E$10*Hypotheses!$E$13+Hypotheses!$E$11*Hypotheses!$E$14+Hypotheses!$E$12*Hypotheses!$E$15)*(1-Hypotheses!$E$16/2)+Hypotheses!$E$20*F$14*(1-Hypotheses!$E$28/2))*(1-(Hypotheses!$E$38+Hypotheses!$E$39))-(Hypotheses!$E$37+Hypotheses!$E$32*Hypotheses!$E$33*Hypotheses!$E$34)-(Hypotheses!$E$32*Hypotheses!$E$33*(1-Hypotheses!$E$34))-(Hypotheses!$E$35*Hypotheses!$E$36)</f>
        <v>4188450.176</v>
      </c>
      <c r="G21" s="27" t="n">
        <f aca="false">(ROUND(Hypotheses!$E$6*Hypotheses!$E$7*$A21,0)*(Hypotheses!$E$10*Hypotheses!$E$13+Hypotheses!$E$11*Hypotheses!$E$14+Hypotheses!$E$12*Hypotheses!$E$15)*(1-Hypotheses!$E$16/2)+Hypotheses!$E$20*G$14*(1-Hypotheses!$E$28/2))*(1-(Hypotheses!$E$38+Hypotheses!$E$39))-(Hypotheses!$E$37+Hypotheses!$E$32*Hypotheses!$E$33*Hypotheses!$E$34)-(Hypotheses!$E$32*Hypotheses!$E$33*(1-Hypotheses!$E$34))-(Hypotheses!$E$35*Hypotheses!$E$36)</f>
        <v>4677250.176</v>
      </c>
      <c r="H21" s="27" t="n">
        <f aca="false">(ROUND(Hypotheses!$E$6*Hypotheses!$E$7*$A21,0)*(Hypotheses!$E$10*Hypotheses!$E$13+Hypotheses!$E$11*Hypotheses!$E$14+Hypotheses!$E$12*Hypotheses!$E$15)*(1-Hypotheses!$E$16/2)+Hypotheses!$E$20*H$14*(1-Hypotheses!$E$28/2))*(1-(Hypotheses!$E$38+Hypotheses!$E$39))-(Hypotheses!$E$37+Hypotheses!$E$32*Hypotheses!$E$33*Hypotheses!$E$34)-(Hypotheses!$E$32*Hypotheses!$E$33*(1-Hypotheses!$E$34))-(Hypotheses!$E$35*Hypotheses!$E$36)</f>
        <v>5166050.176</v>
      </c>
    </row>
    <row r="23" customFormat="false" ht="49.5" hidden="false" customHeight="true" outlineLevel="0" collapsed="false">
      <c r="A23" s="28" t="s">
        <v>104</v>
      </c>
      <c r="B23" s="28"/>
      <c r="C23" s="28"/>
      <c r="D23" s="28"/>
      <c r="E23" s="28"/>
      <c r="F23" s="28"/>
      <c r="G23" s="28"/>
      <c r="H23" s="28"/>
      <c r="I23" s="28"/>
    </row>
  </sheetData>
  <mergeCells count="4">
    <mergeCell ref="A1:I1"/>
    <mergeCell ref="A3:I3"/>
    <mergeCell ref="A13:I13"/>
    <mergeCell ref="A23:I23"/>
  </mergeCells>
  <conditionalFormatting sqref="B5:H11">
    <cfRule type="colorScale" priority="2">
      <colorScale>
        <cfvo type="min" val="0"/>
        <cfvo type="percentile" val="50"/>
        <cfvo type="max" val="0"/>
        <color rgb="FFFCA5A5"/>
        <color rgb="FFFEF3C7"/>
        <color rgb="FF6EE7B7"/>
      </colorScale>
    </cfRule>
  </conditionalFormatting>
  <conditionalFormatting sqref="B15:H21">
    <cfRule type="colorScale" priority="3">
      <colorScale>
        <cfvo type="min" val="0"/>
        <cfvo type="percentile" val="50"/>
        <cfvo type="max" val="0"/>
        <color rgb="FFFCA5A5"/>
        <color rgb="FFFEF3C7"/>
        <color rgb="FF6EE7B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48"/>
  </cols>
  <sheetData>
    <row r="1" customFormat="false" ht="15" hidden="false" customHeight="true" outlineLevel="0" collapsed="false">
      <c r="A1" s="2" t="s">
        <v>105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106</v>
      </c>
      <c r="B2" s="3"/>
      <c r="C2" s="3"/>
      <c r="D2" s="3"/>
      <c r="E2" s="3"/>
      <c r="F2" s="3"/>
    </row>
    <row r="4" customFormat="false" ht="64.5" hidden="false" customHeight="true" outlineLevel="0" collapsed="false">
      <c r="A4" s="5" t="s">
        <v>107</v>
      </c>
      <c r="B4" s="5" t="s">
        <v>108</v>
      </c>
      <c r="C4" s="5" t="s">
        <v>109</v>
      </c>
      <c r="D4" s="5" t="s">
        <v>110</v>
      </c>
      <c r="E4" s="5" t="s">
        <v>79</v>
      </c>
    </row>
    <row r="5" customFormat="false" ht="32.25" hidden="false" customHeight="true" outlineLevel="0" collapsed="false">
      <c r="A5" s="6" t="s">
        <v>111</v>
      </c>
      <c r="B5" s="12" t="n">
        <v>50000</v>
      </c>
      <c r="C5" s="12" t="n">
        <v>15000</v>
      </c>
      <c r="D5" s="12" t="n">
        <v>60000</v>
      </c>
      <c r="E5" s="9" t="s">
        <v>112</v>
      </c>
    </row>
    <row r="6" customFormat="false" ht="32.25" hidden="false" customHeight="true" outlineLevel="0" collapsed="false">
      <c r="A6" s="6" t="s">
        <v>113</v>
      </c>
      <c r="B6" s="12" t="n">
        <v>240000</v>
      </c>
      <c r="C6" s="6" t="s">
        <v>114</v>
      </c>
      <c r="D6" s="12" t="n">
        <v>240000</v>
      </c>
      <c r="E6" s="9" t="s">
        <v>115</v>
      </c>
    </row>
    <row r="7" customFormat="false" ht="21.75" hidden="false" customHeight="true" outlineLevel="0" collapsed="false">
      <c r="A7" s="6" t="s">
        <v>116</v>
      </c>
      <c r="B7" s="12" t="n">
        <v>332800</v>
      </c>
      <c r="C7" s="12" t="n">
        <v>60000</v>
      </c>
      <c r="D7" s="12" t="n">
        <v>392800</v>
      </c>
      <c r="E7" s="9" t="s">
        <v>117</v>
      </c>
    </row>
    <row r="8" customFormat="false" ht="21.75" hidden="false" customHeight="true" outlineLevel="0" collapsed="false">
      <c r="A8" s="6" t="s">
        <v>118</v>
      </c>
      <c r="B8" s="12" t="n">
        <v>432640</v>
      </c>
      <c r="C8" s="12" t="n">
        <v>150000</v>
      </c>
      <c r="D8" s="12" t="n">
        <v>582640</v>
      </c>
      <c r="E8" s="9" t="s">
        <v>119</v>
      </c>
    </row>
    <row r="9" customFormat="false" ht="15" hidden="false" customHeight="true" outlineLevel="0" collapsed="false">
      <c r="A9" s="6" t="s">
        <v>120</v>
      </c>
      <c r="B9" s="17" t="n">
        <f aca="false">SUM(B5:B8)</f>
        <v>1055440</v>
      </c>
      <c r="C9" s="17" t="n">
        <f aca="false">SUM(C5:C8)</f>
        <v>225000</v>
      </c>
      <c r="D9" s="17" t="n">
        <f aca="false">SUM(D5:D8)</f>
        <v>1275440</v>
      </c>
      <c r="E9" s="9" t="s">
        <v>121</v>
      </c>
    </row>
    <row r="11" customFormat="false" ht="15" hidden="false" customHeight="true" outlineLevel="0" collapsed="false">
      <c r="A11" s="5" t="s">
        <v>122</v>
      </c>
      <c r="B11" s="5" t="s">
        <v>123</v>
      </c>
      <c r="C11" s="5" t="s">
        <v>124</v>
      </c>
      <c r="D11" s="5" t="s">
        <v>125</v>
      </c>
      <c r="E11" s="5" t="s">
        <v>126</v>
      </c>
      <c r="F11" s="5" t="s">
        <v>127</v>
      </c>
    </row>
    <row r="12" customFormat="false" ht="15" hidden="false" customHeight="true" outlineLevel="0" collapsed="false">
      <c r="A12" s="6" t="s">
        <v>128</v>
      </c>
      <c r="B12" s="10" t="n">
        <v>0.2</v>
      </c>
      <c r="C12" s="29" t="n">
        <v>5</v>
      </c>
      <c r="D12" s="29" t="n">
        <v>1</v>
      </c>
      <c r="E12" s="29" t="n">
        <v>4</v>
      </c>
      <c r="F12" s="9" t="s">
        <v>129</v>
      </c>
    </row>
    <row r="13" customFormat="false" ht="15" hidden="false" customHeight="true" outlineLevel="0" collapsed="false">
      <c r="A13" s="6" t="s">
        <v>130</v>
      </c>
      <c r="B13" s="10" t="n">
        <v>0.1</v>
      </c>
      <c r="C13" s="29" t="n">
        <v>2</v>
      </c>
      <c r="D13" s="29" t="n">
        <v>5</v>
      </c>
      <c r="E13" s="29" t="n">
        <v>3</v>
      </c>
      <c r="F13" s="9" t="s">
        <v>131</v>
      </c>
    </row>
    <row r="14" customFormat="false" ht="15" hidden="false" customHeight="true" outlineLevel="0" collapsed="false">
      <c r="A14" s="6" t="s">
        <v>132</v>
      </c>
      <c r="B14" s="10" t="n">
        <v>0.2</v>
      </c>
      <c r="C14" s="29" t="n">
        <v>4</v>
      </c>
      <c r="D14" s="29" t="n">
        <v>5</v>
      </c>
      <c r="E14" s="29" t="n">
        <v>3</v>
      </c>
      <c r="F14" s="9" t="s">
        <v>133</v>
      </c>
    </row>
    <row r="15" customFormat="false" ht="15" hidden="false" customHeight="true" outlineLevel="0" collapsed="false">
      <c r="A15" s="6" t="s">
        <v>134</v>
      </c>
      <c r="B15" s="10" t="n">
        <v>0.2</v>
      </c>
      <c r="C15" s="29" t="n">
        <v>5</v>
      </c>
      <c r="D15" s="29" t="n">
        <v>2</v>
      </c>
      <c r="E15" s="29" t="n">
        <v>3</v>
      </c>
      <c r="F15" s="9" t="s">
        <v>135</v>
      </c>
    </row>
    <row r="16" customFormat="false" ht="15" hidden="false" customHeight="true" outlineLevel="0" collapsed="false">
      <c r="A16" s="6" t="s">
        <v>136</v>
      </c>
      <c r="B16" s="10" t="n">
        <v>0.15</v>
      </c>
      <c r="C16" s="29" t="n">
        <v>3</v>
      </c>
      <c r="D16" s="29" t="n">
        <v>4</v>
      </c>
      <c r="E16" s="29" t="n">
        <v>5</v>
      </c>
      <c r="F16" s="9" t="s">
        <v>137</v>
      </c>
    </row>
    <row r="17" customFormat="false" ht="15" hidden="false" customHeight="true" outlineLevel="0" collapsed="false">
      <c r="A17" s="6" t="s">
        <v>138</v>
      </c>
      <c r="B17" s="10" t="n">
        <v>0.15</v>
      </c>
      <c r="C17" s="29" t="n">
        <v>4</v>
      </c>
      <c r="D17" s="29" t="n">
        <v>4</v>
      </c>
      <c r="E17" s="29" t="n">
        <v>5</v>
      </c>
      <c r="F17" s="9" t="s">
        <v>139</v>
      </c>
    </row>
    <row r="18" customFormat="false" ht="15" hidden="false" customHeight="true" outlineLevel="0" collapsed="false">
      <c r="A18" s="30" t="s">
        <v>140</v>
      </c>
      <c r="C18" s="31" t="n">
        <f aca="false">SUMPRODUCT($B$12:$B$17,C12:C17)</f>
        <v>4.05</v>
      </c>
      <c r="D18" s="31" t="n">
        <f aca="false">SUMPRODUCT($B$12:$B$17,D12:D17)</f>
        <v>3.3</v>
      </c>
      <c r="E18" s="31" t="n">
        <f aca="false">SUMPRODUCT($B$12:$B$17,E12:E17)</f>
        <v>3.8</v>
      </c>
    </row>
    <row r="20" customFormat="false" ht="15" hidden="false" customHeight="true" outlineLevel="0" collapsed="false">
      <c r="A20" s="32" t="s">
        <v>141</v>
      </c>
      <c r="B20" s="32"/>
      <c r="C20" s="32"/>
      <c r="D20" s="32"/>
      <c r="E20" s="32"/>
      <c r="F20" s="32"/>
    </row>
    <row r="21" customFormat="false" ht="69.75" hidden="false" customHeight="true" outlineLevel="0" collapsed="false">
      <c r="A21" s="33" t="s">
        <v>142</v>
      </c>
      <c r="B21" s="33"/>
      <c r="C21" s="33"/>
      <c r="D21" s="33"/>
      <c r="E21" s="33"/>
      <c r="F21" s="33"/>
    </row>
  </sheetData>
  <mergeCells count="4">
    <mergeCell ref="A1:F1"/>
    <mergeCell ref="A2:F2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2026-04-28T19:02:26Z</dcterms:created>
  <dc:creator>openpyxl</dc:creator>
  <dc:description/>
  <dc:language>en-US</dc:language>
  <cp:lastModifiedBy/>
  <dcterms:modified xsi:type="dcterms:W3CDTF">2026-04-28T19:02:49Z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