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eses" sheetId="1" state="visible" r:id="rId3"/>
    <sheet name="P&amp;L Projection" sheetId="2" state="visible" r:id="rId4"/>
    <sheet name="Sensibili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<sst xmlns="http://schemas.openxmlformats.org/spreadsheetml/2006/main" count="138" uniqueCount="96">
  <si>
    <t xml:space="preserve">Business Plan - L'Etudiant x Alberthon  |  Hypotheses &amp; Parametres</t>
  </si>
  <si>
    <t xml:space="preserve">Blue = inputs modifiables  |  Periode : 2026-2028  |  Montants en EUR</t>
  </si>
  <si>
    <t xml:space="preserve">  PRODUIT 1 - Barometre des Intentions d'Orientation (SaaS annuel)</t>
  </si>
  <si>
    <t xml:space="preserve">Hypothese</t>
  </si>
  <si>
    <t xml:space="preserve">Description</t>
  </si>
  <si>
    <t xml:space="preserve">An 1 (2026)</t>
  </si>
  <si>
    <t xml:space="preserve">An 2 (2027)</t>
  </si>
  <si>
    <t xml:space="preserve">An 3 (2028)</t>
  </si>
  <si>
    <t xml:space="preserve">Unite</t>
  </si>
  <si>
    <t xml:space="preserve">Source / Note</t>
  </si>
  <si>
    <t xml:space="preserve">Marche total etablissements FR</t>
  </si>
  <si>
    <t xml:space="preserve">etabl.</t>
  </si>
  <si>
    <t xml:space="preserve">DEPP 2024 - nb etablissements post-bac actifs</t>
  </si>
  <si>
    <t xml:space="preserve">Part adressable via reseau L'Etudiant</t>
  </si>
  <si>
    <t xml:space="preserve">%</t>
  </si>
  <si>
    <t xml:space="preserve">Acceleration via force commerciale</t>
  </si>
  <si>
    <t xml:space="preserve">Taux conversion prospects -&gt; clients</t>
  </si>
  <si>
    <t xml:space="preserve">Benchmark SaaS EdTech B2B : 5-10%</t>
  </si>
  <si>
    <t xml:space="preserve">INCERTAIN</t>
  </si>
  <si>
    <t xml:space="preserve">Nb clients Barometre (calcule)</t>
  </si>
  <si>
    <t xml:space="preserve">clients</t>
  </si>
  <si>
    <t xml:space="preserve">calcule : TAM x SAM% x Taux conversion</t>
  </si>
  <si>
    <t xml:space="preserve">Part tier Starter</t>
  </si>
  <si>
    <t xml:space="preserve">BTS, IUT locaux</t>
  </si>
  <si>
    <t xml:space="preserve">Part tier Growth</t>
  </si>
  <si>
    <t xml:space="preserve">Ecoles mid-market</t>
  </si>
  <si>
    <t xml:space="preserve">Part tier Premium</t>
  </si>
  <si>
    <t xml:space="preserve">Grandes ecoles, universites</t>
  </si>
  <si>
    <t xml:space="preserve">Prix annuel Starter</t>
  </si>
  <si>
    <t xml:space="preserve">EUR</t>
  </si>
  <si>
    <t xml:space="preserve">+5%/an</t>
  </si>
  <si>
    <t xml:space="preserve">Prix annuel Growth</t>
  </si>
  <si>
    <t xml:space="preserve">Prix annuel Premium</t>
  </si>
  <si>
    <t xml:space="preserve">Taux de churn annuel P1</t>
  </si>
  <si>
    <t xml:space="preserve">Conservateur - amelioration produit</t>
  </si>
  <si>
    <t xml:space="preserve">  PRODUIT 2 - Leads Qualifies Intent-Based (CPL)</t>
  </si>
  <si>
    <t xml:space="preserve">Nb etablissements clients leads</t>
  </si>
  <si>
    <t xml:space="preserve">Hypothese commerciale terrain</t>
  </si>
  <si>
    <t xml:space="preserve">Spend moyen leads/client/an</t>
  </si>
  <si>
    <t xml:space="preserve">Benchmark CPL x volume moyen</t>
  </si>
  <si>
    <t xml:space="preserve">Part leads A dans mix livre</t>
  </si>
  <si>
    <t xml:space="preserve">Croit avec amelioration scoring</t>
  </si>
  <si>
    <t xml:space="preserve">Part leads B</t>
  </si>
  <si>
    <t xml:space="preserve">Part leads C</t>
  </si>
  <si>
    <t xml:space="preserve">Prix moyen lead A</t>
  </si>
  <si>
    <t xml:space="preserve">Premium intention forte</t>
  </si>
  <si>
    <t xml:space="preserve">Prix moyen lead B</t>
  </si>
  <si>
    <t xml:space="preserve">Prix moyen lead C</t>
  </si>
  <si>
    <t xml:space="preserve">Churn clients leads</t>
  </si>
  <si>
    <t xml:space="preserve">Plus volatile que SaaS</t>
  </si>
  <si>
    <t xml:space="preserve">  COUTS OPERATIONNELS</t>
  </si>
  <si>
    <t xml:space="preserve">Data Engineers (ETP)</t>
  </si>
  <si>
    <t xml:space="preserve">ETP</t>
  </si>
  <si>
    <t xml:space="preserve">80k EUR/ETP charge</t>
  </si>
  <si>
    <t xml:space="preserve">Cout ETP data (charge)</t>
  </si>
  <si>
    <t xml:space="preserve">+4%/an masse salariale</t>
  </si>
  <si>
    <t xml:space="preserve">Sales reps BtoB (ETP)</t>
  </si>
  <si>
    <t xml:space="preserve">60k EUR/ETP</t>
  </si>
  <si>
    <t xml:space="preserve">Cout ETP sales (charge)</t>
  </si>
  <si>
    <t xml:space="preserve">+4%/an</t>
  </si>
  <si>
    <t xml:space="preserve">Infrastructure BigQuery + cloud</t>
  </si>
  <si>
    <t xml:space="preserve">Croit avec volumes</t>
  </si>
  <si>
    <t xml:space="preserve">Marketing (% du CA)</t>
  </si>
  <si>
    <t xml:space="preserve">Decrements avec notoriete</t>
  </si>
  <si>
    <t xml:space="preserve">G&amp;A (% du CA)</t>
  </si>
  <si>
    <t xml:space="preserve">Economies d'echelle</t>
  </si>
  <si>
    <t xml:space="preserve">Compte de Resultat Previsionnel - 2026 / 2027 / 2028</t>
  </si>
  <si>
    <t xml:space="preserve">Black = formules liees aux Hypotheses  |  Montants en EUR</t>
  </si>
  <si>
    <t xml:space="preserve">Ligne P&amp;L</t>
  </si>
  <si>
    <t xml:space="preserve">An 1 - 2026</t>
  </si>
  <si>
    <t xml:space="preserve">An 2 - 2027</t>
  </si>
  <si>
    <t xml:space="preserve">An 3 - 2028</t>
  </si>
  <si>
    <t xml:space="preserve">CAGR 2026-28</t>
  </si>
  <si>
    <t xml:space="preserve">  REVENUS</t>
  </si>
  <si>
    <t xml:space="preserve">  Revenu Produit 1 - Barometre SaaS</t>
  </si>
  <si>
    <t xml:space="preserve">  Revenu Produit 2 - Leads CPL</t>
  </si>
  <si>
    <t xml:space="preserve">REVENU TOTAL</t>
  </si>
  <si>
    <t xml:space="preserve">  MARGE BRUTE</t>
  </si>
  <si>
    <t xml:space="preserve">  COGS (infra + data directe)</t>
  </si>
  <si>
    <t xml:space="preserve">MARGE BRUTE</t>
  </si>
  <si>
    <t xml:space="preserve">  Marge brute (%)</t>
  </si>
  <si>
    <t xml:space="preserve">  CHARGES OPERATIONNELLES</t>
  </si>
  <si>
    <t xml:space="preserve">  Equipe Data &amp; Engineering</t>
  </si>
  <si>
    <t xml:space="preserve">  Equipe Sales &amp; Account Mgmt</t>
  </si>
  <si>
    <t xml:space="preserve">  Marketing &amp; Acquisition</t>
  </si>
  <si>
    <t xml:space="preserve">  G&amp;A (juridique, admin, IT)</t>
  </si>
  <si>
    <t xml:space="preserve">TOTAL OPEX</t>
  </si>
  <si>
    <t xml:space="preserve">  RESULTAT</t>
  </si>
  <si>
    <t xml:space="preserve">EBITDA</t>
  </si>
  <si>
    <t xml:space="preserve">  Marge EBITDA (%)</t>
  </si>
  <si>
    <t xml:space="preserve">Analyse de Sensibilite - 2 Variables les plus incertaines</t>
  </si>
  <si>
    <t xml:space="preserve">Variable 1 : Taux de conversion P1 (axe vertical)   |   Variable 2 : Spend moyen leads P2 (axe horizontal)</t>
  </si>
  <si>
    <t xml:space="preserve">REVENU TOTAL AN 1 (2026) - Taux conversion P1 x Spend moyen P2</t>
  </si>
  <si>
    <t xml:space="preserve">Conv P1 v / Spend P2 &gt;</t>
  </si>
  <si>
    <t xml:space="preserve">REVENU TOTAL AN 3 (2028) - Taux conversion P1 x Spend moyen P2</t>
  </si>
  <si>
    <t xml:space="preserve">LECTURE : La variable la plus sensible est le spend moyen Produit 2 (leads). Une variation +30% (15k-&gt;20k EUR/client) genere +100k EUR de revenu en An 1. Sur P1, passer de 5% a 8% de conversion multiplie le revenu par 1.6x. Priorite commerciale : valider 5 clients Barometre et 5 clients Leads avant Q3 2025. Bleu = cas de base. Vert = favorable. Jaune = neutre. Rouge = defavorable.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</si>
</sst>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\(0.0%\);\-"/>
    <numFmt numFmtId="166" formatCode="#,##0&quot; €&quot;;\(#,##0&quot; €)&quot;;\-"/>
    <numFmt numFmtId="167" formatCode="#,##0&quot; €&quot;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1A1A2E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8242C"/>
        <bgColor rgb="FF993300"/>
      </patternFill>
    </fill>
    <fill>
      <patternFill patternType="solid">
        <fgColor rgb="FFF4F6F9"/>
        <bgColor rgb="FFFFF5F5"/>
      </patternFill>
    </fill>
    <fill>
      <patternFill patternType="solid">
        <fgColor rgb="FF1A1A2E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5F5"/>
      </patternFill>
    </fill>
    <fill>
      <patternFill patternType="solid">
        <fgColor rgb="FFE5E7EB"/>
        <bgColor rgb="FFFEE2E2"/>
      </patternFill>
    </fill>
    <fill>
      <patternFill patternType="solid">
        <fgColor rgb="FFFEE2E2"/>
        <bgColor rgb="FFE5E7EB"/>
      </patternFill>
    </fill>
    <fill>
      <patternFill patternType="solid">
        <fgColor rgb="FFFEF9C3"/>
        <bgColor rgb="FFFFF5F5"/>
      </patternFill>
    </fill>
    <fill>
      <patternFill patternType="solid">
        <fgColor rgb="FFDCFCE7"/>
        <bgColor rgb="FFF4F6F9"/>
      </patternFill>
    </fill>
    <fill>
      <patternFill patternType="solid">
        <fgColor rgb="FFBFDBFE"/>
        <bgColor rgb="FFD1D5DB"/>
      </patternFill>
    </fill>
    <fill>
      <patternFill patternType="solid">
        <fgColor rgb="FFFFF5F5"/>
        <bgColor rgb="FFF4F6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8242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1D5DB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BFD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E5E7EB"/>
      <rgbColor rgb="FFFFF5F5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2"/>
    <col collapsed="false" customWidth="true" hidden="false" outlineLevel="0" max="5" min="3" style="1" width="14"/>
    <col collapsed="false" customWidth="true" hidden="false" outlineLevel="0" max="6" min="6" style="1" width="9"/>
    <col collapsed="false" customWidth="true" hidden="false" outlineLevel="0" max="7" min="7" style="1" width="38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9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/>
    </row>
    <row r="6" customFormat="false" ht="15" hidden="false" customHeight="true" outlineLevel="0" collapsed="false">
      <c r="B6" s="6" t="s">
        <v>10</v>
      </c>
      <c r="C6" s="7" t="n">
        <v>3500</v>
      </c>
      <c r="D6" s="7" t="n">
        <v>3500</v>
      </c>
      <c r="E6" s="7" t="n">
        <v>3500</v>
      </c>
      <c r="F6" s="8" t="s">
        <v>11</v>
      </c>
      <c r="G6" s="8" t="s">
        <v>12</v>
      </c>
      <c r="H6" s="8"/>
    </row>
    <row r="7" customFormat="false" ht="15" hidden="false" customHeight="true" outlineLevel="0" collapsed="false">
      <c r="B7" s="6" t="s">
        <v>13</v>
      </c>
      <c r="C7" s="9" t="n">
        <v>0.15</v>
      </c>
      <c r="D7" s="9" t="n">
        <v>0.25</v>
      </c>
      <c r="E7" s="9" t="n">
        <v>0.4</v>
      </c>
      <c r="F7" s="8" t="s">
        <v>14</v>
      </c>
      <c r="G7" s="8" t="s">
        <v>15</v>
      </c>
      <c r="H7" s="8"/>
    </row>
    <row r="8" customFormat="false" ht="15" hidden="false" customHeight="true" outlineLevel="0" collapsed="false">
      <c r="B8" s="6" t="s">
        <v>16</v>
      </c>
      <c r="C8" s="9" t="n">
        <v>0.05</v>
      </c>
      <c r="D8" s="9" t="n">
        <v>0.08</v>
      </c>
      <c r="E8" s="9" t="n">
        <v>0.1</v>
      </c>
      <c r="F8" s="8" t="s">
        <v>14</v>
      </c>
      <c r="G8" s="8" t="s">
        <v>17</v>
      </c>
      <c r="H8" s="10" t="s">
        <v>18</v>
      </c>
    </row>
    <row r="9" customFormat="false" ht="15" hidden="false" customHeight="true" outlineLevel="0" collapsed="false">
      <c r="B9" s="6" t="s">
        <v>19</v>
      </c>
      <c r="C9" s="11" t="n">
        <f aca="false">ROUND(C6*C7*C8,0)</f>
        <v>26</v>
      </c>
      <c r="D9" s="11" t="n">
        <f aca="false">ROUND(C6*D7*D8,0)</f>
        <v>70</v>
      </c>
      <c r="E9" s="11" t="n">
        <f aca="false">ROUND(C6*E7*E8,0)</f>
        <v>140</v>
      </c>
      <c r="F9" s="8" t="s">
        <v>20</v>
      </c>
      <c r="G9" s="8" t="s">
        <v>21</v>
      </c>
      <c r="H9" s="8"/>
    </row>
    <row r="10" customFormat="false" ht="15" hidden="false" customHeight="true" outlineLevel="0" collapsed="false">
      <c r="B10" s="6" t="s">
        <v>22</v>
      </c>
      <c r="C10" s="9" t="n">
        <v>0.6</v>
      </c>
      <c r="D10" s="9" t="n">
        <v>0.55</v>
      </c>
      <c r="E10" s="9" t="n">
        <v>0.5</v>
      </c>
      <c r="F10" s="8" t="s">
        <v>14</v>
      </c>
      <c r="G10" s="8" t="s">
        <v>23</v>
      </c>
      <c r="H10" s="8"/>
    </row>
    <row r="11" customFormat="false" ht="15" hidden="false" customHeight="true" outlineLevel="0" collapsed="false">
      <c r="B11" s="6" t="s">
        <v>24</v>
      </c>
      <c r="C11" s="9" t="n">
        <v>0.3</v>
      </c>
      <c r="D11" s="9" t="n">
        <v>0.32</v>
      </c>
      <c r="E11" s="9" t="n">
        <v>0.33</v>
      </c>
      <c r="F11" s="8" t="s">
        <v>14</v>
      </c>
      <c r="G11" s="8" t="s">
        <v>25</v>
      </c>
      <c r="H11" s="8"/>
    </row>
    <row r="12" customFormat="false" ht="15" hidden="false" customHeight="true" outlineLevel="0" collapsed="false">
      <c r="B12" s="6" t="s">
        <v>26</v>
      </c>
      <c r="C12" s="9" t="n">
        <v>0.1</v>
      </c>
      <c r="D12" s="9" t="n">
        <v>0.13</v>
      </c>
      <c r="E12" s="9" t="n">
        <v>0.17</v>
      </c>
      <c r="F12" s="8" t="s">
        <v>14</v>
      </c>
      <c r="G12" s="8" t="s">
        <v>27</v>
      </c>
      <c r="H12" s="8"/>
    </row>
    <row r="13" customFormat="false" ht="15" hidden="false" customHeight="true" outlineLevel="0" collapsed="false">
      <c r="B13" s="6" t="s">
        <v>28</v>
      </c>
      <c r="C13" s="12" t="n">
        <v>6000</v>
      </c>
      <c r="D13" s="12" t="n">
        <v>6300</v>
      </c>
      <c r="E13" s="12" t="n">
        <v>6600</v>
      </c>
      <c r="F13" s="8" t="s">
        <v>29</v>
      </c>
      <c r="G13" s="8" t="s">
        <v>30</v>
      </c>
      <c r="H13" s="8"/>
    </row>
    <row r="14" customFormat="false" ht="15" hidden="false" customHeight="true" outlineLevel="0" collapsed="false">
      <c r="B14" s="6" t="s">
        <v>31</v>
      </c>
      <c r="C14" s="12" t="n">
        <v>14000</v>
      </c>
      <c r="D14" s="12" t="n">
        <v>14700</v>
      </c>
      <c r="E14" s="12" t="n">
        <v>15400</v>
      </c>
      <c r="F14" s="8" t="s">
        <v>29</v>
      </c>
      <c r="G14" s="8" t="s">
        <v>30</v>
      </c>
      <c r="H14" s="8"/>
    </row>
    <row r="15" customFormat="false" ht="15" hidden="false" customHeight="true" outlineLevel="0" collapsed="false">
      <c r="B15" s="6" t="s">
        <v>32</v>
      </c>
      <c r="C15" s="12" t="n">
        <v>28000</v>
      </c>
      <c r="D15" s="12" t="n">
        <v>29400</v>
      </c>
      <c r="E15" s="12" t="n">
        <v>30870</v>
      </c>
      <c r="F15" s="8" t="s">
        <v>29</v>
      </c>
      <c r="G15" s="8" t="s">
        <v>30</v>
      </c>
      <c r="H15" s="8"/>
    </row>
    <row r="16" customFormat="false" ht="15" hidden="false" customHeight="true" outlineLevel="0" collapsed="false">
      <c r="B16" s="6" t="s">
        <v>33</v>
      </c>
      <c r="C16" s="9" t="n">
        <v>0.15</v>
      </c>
      <c r="D16" s="9" t="n">
        <v>0.12</v>
      </c>
      <c r="E16" s="9" t="n">
        <v>0.1</v>
      </c>
      <c r="F16" s="8" t="s">
        <v>14</v>
      </c>
      <c r="G16" s="8" t="s">
        <v>34</v>
      </c>
      <c r="H16" s="10" t="s">
        <v>18</v>
      </c>
    </row>
    <row r="18" customFormat="false" ht="18" hidden="false" customHeight="true" outlineLevel="0" collapsed="false">
      <c r="A18" s="4" t="s">
        <v>35</v>
      </c>
      <c r="B18" s="4"/>
      <c r="C18" s="4"/>
      <c r="D18" s="4"/>
      <c r="E18" s="4"/>
      <c r="F18" s="4"/>
      <c r="G18" s="4"/>
      <c r="H18" s="4"/>
    </row>
    <row r="19" customFormat="false" ht="19.5" hidden="false" customHeight="true" outlineLevel="0" collapsed="false">
      <c r="A19" s="5" t="s">
        <v>3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  <c r="G19" s="5" t="s">
        <v>9</v>
      </c>
      <c r="H19" s="5"/>
    </row>
    <row r="20" customFormat="false" ht="15" hidden="false" customHeight="true" outlineLevel="0" collapsed="false">
      <c r="B20" s="6" t="s">
        <v>36</v>
      </c>
      <c r="C20" s="7" t="n">
        <v>20</v>
      </c>
      <c r="D20" s="7" t="n">
        <v>55</v>
      </c>
      <c r="E20" s="7" t="n">
        <v>130</v>
      </c>
      <c r="F20" s="8" t="s">
        <v>20</v>
      </c>
      <c r="G20" s="8" t="s">
        <v>37</v>
      </c>
      <c r="H20" s="10" t="s">
        <v>18</v>
      </c>
    </row>
    <row r="21" customFormat="false" ht="15" hidden="false" customHeight="true" outlineLevel="0" collapsed="false">
      <c r="B21" s="6" t="s">
        <v>38</v>
      </c>
      <c r="C21" s="12" t="n">
        <v>15000</v>
      </c>
      <c r="D21" s="12" t="n">
        <v>20000</v>
      </c>
      <c r="E21" s="12" t="n">
        <v>26000</v>
      </c>
      <c r="F21" s="8" t="s">
        <v>29</v>
      </c>
      <c r="G21" s="8" t="s">
        <v>39</v>
      </c>
      <c r="H21" s="10" t="s">
        <v>18</v>
      </c>
    </row>
    <row r="22" customFormat="false" ht="15" hidden="false" customHeight="true" outlineLevel="0" collapsed="false">
      <c r="B22" s="6" t="s">
        <v>40</v>
      </c>
      <c r="C22" s="9" t="n">
        <v>0.25</v>
      </c>
      <c r="D22" s="9" t="n">
        <v>0.3</v>
      </c>
      <c r="E22" s="9" t="n">
        <v>0.35</v>
      </c>
      <c r="F22" s="8" t="s">
        <v>14</v>
      </c>
      <c r="G22" s="8" t="s">
        <v>41</v>
      </c>
      <c r="H22" s="8"/>
    </row>
    <row r="23" customFormat="false" ht="15" hidden="false" customHeight="true" outlineLevel="0" collapsed="false">
      <c r="B23" s="6" t="s">
        <v>42</v>
      </c>
      <c r="C23" s="9" t="n">
        <v>0.45</v>
      </c>
      <c r="D23" s="9" t="n">
        <v>0.45</v>
      </c>
      <c r="E23" s="9" t="n">
        <v>0.42</v>
      </c>
      <c r="F23" s="8" t="s">
        <v>14</v>
      </c>
      <c r="G23" s="8"/>
      <c r="H23" s="8"/>
    </row>
    <row r="24" customFormat="false" ht="15" hidden="false" customHeight="true" outlineLevel="0" collapsed="false">
      <c r="B24" s="6" t="s">
        <v>43</v>
      </c>
      <c r="C24" s="9" t="n">
        <v>0.3</v>
      </c>
      <c r="D24" s="9" t="n">
        <v>0.25</v>
      </c>
      <c r="E24" s="9" t="n">
        <v>0.23</v>
      </c>
      <c r="F24" s="8" t="s">
        <v>14</v>
      </c>
      <c r="G24" s="8"/>
      <c r="H24" s="8"/>
    </row>
    <row r="25" customFormat="false" ht="15" hidden="false" customHeight="true" outlineLevel="0" collapsed="false">
      <c r="B25" s="6" t="s">
        <v>44</v>
      </c>
      <c r="C25" s="12" t="n">
        <v>32</v>
      </c>
      <c r="D25" s="12" t="n">
        <v>34</v>
      </c>
      <c r="E25" s="12" t="n">
        <v>36</v>
      </c>
      <c r="F25" s="8" t="s">
        <v>29</v>
      </c>
      <c r="G25" s="8" t="s">
        <v>45</v>
      </c>
      <c r="H25" s="8"/>
    </row>
    <row r="26" customFormat="false" ht="15" hidden="false" customHeight="true" outlineLevel="0" collapsed="false">
      <c r="B26" s="6" t="s">
        <v>46</v>
      </c>
      <c r="C26" s="12" t="n">
        <v>11</v>
      </c>
      <c r="D26" s="12" t="n">
        <v>12</v>
      </c>
      <c r="E26" s="12" t="n">
        <v>13</v>
      </c>
      <c r="F26" s="8" t="s">
        <v>29</v>
      </c>
      <c r="G26" s="8"/>
      <c r="H26" s="8"/>
    </row>
    <row r="27" customFormat="false" ht="15" hidden="false" customHeight="true" outlineLevel="0" collapsed="false">
      <c r="B27" s="6" t="s">
        <v>47</v>
      </c>
      <c r="C27" s="12" t="n">
        <v>3</v>
      </c>
      <c r="D27" s="12" t="n">
        <v>3</v>
      </c>
      <c r="E27" s="12" t="n">
        <v>3</v>
      </c>
      <c r="F27" s="8" t="s">
        <v>29</v>
      </c>
      <c r="G27" s="8"/>
      <c r="H27" s="8"/>
    </row>
    <row r="28" customFormat="false" ht="15" hidden="false" customHeight="true" outlineLevel="0" collapsed="false">
      <c r="B28" s="6" t="s">
        <v>48</v>
      </c>
      <c r="C28" s="9" t="n">
        <v>0.2</v>
      </c>
      <c r="D28" s="9" t="n">
        <v>0.15</v>
      </c>
      <c r="E28" s="9" t="n">
        <v>0.12</v>
      </c>
      <c r="F28" s="8" t="s">
        <v>14</v>
      </c>
      <c r="G28" s="8" t="s">
        <v>49</v>
      </c>
      <c r="H28" s="8"/>
    </row>
    <row r="30" customFormat="false" ht="18" hidden="false" customHeight="true" outlineLevel="0" collapsed="false">
      <c r="A30" s="4" t="s">
        <v>50</v>
      </c>
      <c r="B30" s="4"/>
      <c r="C30" s="4"/>
      <c r="D30" s="4"/>
      <c r="E30" s="4"/>
      <c r="F30" s="4"/>
      <c r="G30" s="4"/>
      <c r="H30" s="4"/>
    </row>
    <row r="31" customFormat="false" ht="19.5" hidden="false" customHeight="true" outlineLevel="0" collapsed="false">
      <c r="A31" s="5" t="s">
        <v>3</v>
      </c>
      <c r="B31" s="5" t="s">
        <v>4</v>
      </c>
      <c r="C31" s="5" t="s">
        <v>5</v>
      </c>
      <c r="D31" s="5" t="s">
        <v>6</v>
      </c>
      <c r="E31" s="5" t="s">
        <v>7</v>
      </c>
      <c r="F31" s="5" t="s">
        <v>8</v>
      </c>
      <c r="G31" s="5" t="s">
        <v>9</v>
      </c>
      <c r="H31" s="5"/>
    </row>
    <row r="32" customFormat="false" ht="15" hidden="false" customHeight="true" outlineLevel="0" collapsed="false">
      <c r="B32" s="6" t="s">
        <v>51</v>
      </c>
      <c r="C32" s="7" t="n">
        <v>3</v>
      </c>
      <c r="D32" s="7" t="n">
        <v>4</v>
      </c>
      <c r="E32" s="7" t="n">
        <v>5</v>
      </c>
      <c r="F32" s="8" t="s">
        <v>52</v>
      </c>
      <c r="G32" s="8" t="s">
        <v>53</v>
      </c>
      <c r="H32" s="8"/>
    </row>
    <row r="33" customFormat="false" ht="15" hidden="false" customHeight="true" outlineLevel="0" collapsed="false">
      <c r="B33" s="6" t="s">
        <v>54</v>
      </c>
      <c r="C33" s="12" t="n">
        <v>80000</v>
      </c>
      <c r="D33" s="12" t="n">
        <v>83200</v>
      </c>
      <c r="E33" s="12" t="n">
        <v>86528</v>
      </c>
      <c r="F33" s="8" t="s">
        <v>29</v>
      </c>
      <c r="G33" s="8" t="s">
        <v>55</v>
      </c>
      <c r="H33" s="8"/>
    </row>
    <row r="34" customFormat="false" ht="15" hidden="false" customHeight="true" outlineLevel="0" collapsed="false">
      <c r="B34" s="6" t="s">
        <v>56</v>
      </c>
      <c r="C34" s="7" t="n">
        <v>2</v>
      </c>
      <c r="D34" s="7" t="n">
        <v>5</v>
      </c>
      <c r="E34" s="7" t="n">
        <v>9</v>
      </c>
      <c r="F34" s="8" t="s">
        <v>52</v>
      </c>
      <c r="G34" s="8" t="s">
        <v>57</v>
      </c>
      <c r="H34" s="8"/>
    </row>
    <row r="35" customFormat="false" ht="15" hidden="false" customHeight="true" outlineLevel="0" collapsed="false">
      <c r="B35" s="6" t="s">
        <v>58</v>
      </c>
      <c r="C35" s="12" t="n">
        <v>60000</v>
      </c>
      <c r="D35" s="12" t="n">
        <v>62400</v>
      </c>
      <c r="E35" s="12" t="n">
        <v>64896</v>
      </c>
      <c r="F35" s="8" t="s">
        <v>29</v>
      </c>
      <c r="G35" s="8" t="s">
        <v>59</v>
      </c>
      <c r="H35" s="8"/>
    </row>
    <row r="36" customFormat="false" ht="15" hidden="false" customHeight="true" outlineLevel="0" collapsed="false">
      <c r="B36" s="6" t="s">
        <v>60</v>
      </c>
      <c r="C36" s="12" t="n">
        <v>8000</v>
      </c>
      <c r="D36" s="12" t="n">
        <v>20000</v>
      </c>
      <c r="E36" s="12" t="n">
        <v>48000</v>
      </c>
      <c r="F36" s="8" t="s">
        <v>29</v>
      </c>
      <c r="G36" s="8" t="s">
        <v>61</v>
      </c>
      <c r="H36" s="8"/>
    </row>
    <row r="37" customFormat="false" ht="15" hidden="false" customHeight="true" outlineLevel="0" collapsed="false">
      <c r="B37" s="6" t="s">
        <v>62</v>
      </c>
      <c r="C37" s="9" t="n">
        <v>0.12</v>
      </c>
      <c r="D37" s="9" t="n">
        <v>0.1</v>
      </c>
      <c r="E37" s="9" t="n">
        <v>0.08</v>
      </c>
      <c r="F37" s="8" t="s">
        <v>14</v>
      </c>
      <c r="G37" s="8" t="s">
        <v>63</v>
      </c>
      <c r="H37" s="8"/>
    </row>
    <row r="38" customFormat="false" ht="15" hidden="false" customHeight="true" outlineLevel="0" collapsed="false">
      <c r="B38" s="6" t="s">
        <v>64</v>
      </c>
      <c r="C38" s="9" t="n">
        <v>0.18</v>
      </c>
      <c r="D38" s="9" t="n">
        <v>0.14</v>
      </c>
      <c r="E38" s="9" t="n">
        <v>0.12</v>
      </c>
      <c r="F38" s="8" t="s">
        <v>14</v>
      </c>
      <c r="G38" s="8" t="s">
        <v>65</v>
      </c>
      <c r="H38" s="8"/>
    </row>
  </sheetData>
  <mergeCells count="5">
    <mergeCell ref="A1:H1"/>
    <mergeCell ref="A2:H2"/>
    <mergeCell ref="A4:H4"/>
    <mergeCell ref="A18:H18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  <col collapsed="false" customWidth="true" hidden="false" outlineLevel="0" max="5" min="5" style="1" width="12"/>
  </cols>
  <sheetData>
    <row r="1" customFormat="false" ht="37.5" hidden="false" customHeight="true" outlineLevel="0" collapsed="false">
      <c r="A1" s="2" t="s">
        <v>66</v>
      </c>
      <c r="B1" s="2"/>
      <c r="C1" s="2"/>
      <c r="D1" s="2"/>
      <c r="E1" s="2"/>
    </row>
    <row r="2" customFormat="false" ht="15" hidden="false" customHeight="true" outlineLevel="0" collapsed="false">
      <c r="A2" s="3" t="s">
        <v>67</v>
      </c>
      <c r="B2" s="3"/>
      <c r="C2" s="3"/>
      <c r="D2" s="3"/>
      <c r="E2" s="3"/>
    </row>
    <row r="4" customFormat="false" ht="19.5" hidden="false" customHeight="true" outlineLevel="0" collapsed="false">
      <c r="A4" s="5" t="s">
        <v>68</v>
      </c>
      <c r="B4" s="5" t="s">
        <v>69</v>
      </c>
      <c r="C4" s="5" t="s">
        <v>70</v>
      </c>
      <c r="D4" s="5" t="s">
        <v>71</v>
      </c>
      <c r="E4" s="5" t="s">
        <v>72</v>
      </c>
    </row>
    <row r="5" customFormat="false" ht="18" hidden="false" customHeight="true" outlineLevel="0" collapsed="false">
      <c r="A5" s="4" t="s">
        <v>73</v>
      </c>
      <c r="B5" s="4"/>
      <c r="C5" s="4"/>
      <c r="D5" s="4"/>
      <c r="E5" s="4"/>
    </row>
    <row r="6" customFormat="false" ht="15" hidden="false" customHeight="true" outlineLevel="0" collapsed="false">
      <c r="A6" s="13" t="s">
        <v>74</v>
      </c>
      <c r="B6" s="14" t="n">
        <f aca="false">Hypotheses!C9*(Hypotheses!C10*Hypotheses!C13+Hypotheses!C11*Hypotheses!C14+Hypotheses!C12*Hypotheses!C15)</f>
        <v>275600</v>
      </c>
      <c r="C6" s="14" t="n">
        <f aca="false">Hypotheses!D9*(Hypotheses!D10*Hypotheses!D13+Hypotheses!D11*Hypotheses!D14+Hypotheses!D12*Hypotheses!D15)</f>
        <v>839370</v>
      </c>
      <c r="D6" s="14" t="n">
        <f aca="false">Hypotheses!E9*(Hypotheses!E10*Hypotheses!E13+Hypotheses!E11*Hypotheses!E14+Hypotheses!E12*Hypotheses!E15)</f>
        <v>1908186</v>
      </c>
      <c r="E6" s="15" t="n">
        <f aca="false">IFERROR((D6/B6)^(1/2)-1,0)</f>
        <v>1.63130230384567</v>
      </c>
    </row>
    <row r="7" customFormat="false" ht="15" hidden="false" customHeight="true" outlineLevel="0" collapsed="false">
      <c r="A7" s="13" t="s">
        <v>75</v>
      </c>
      <c r="B7" s="14" t="n">
        <f aca="false">Hypotheses!C20*Hypotheses!C21</f>
        <v>300000</v>
      </c>
      <c r="C7" s="14" t="n">
        <f aca="false">Hypotheses!D20*Hypotheses!D21</f>
        <v>1100000</v>
      </c>
      <c r="D7" s="14" t="n">
        <f aca="false">Hypotheses!E20*Hypotheses!E21</f>
        <v>3380000</v>
      </c>
      <c r="E7" s="15" t="n">
        <f aca="false">IFERROR((D7/B7)^(1/2)-1,0)</f>
        <v>2.35658556671309</v>
      </c>
    </row>
    <row r="8" customFormat="false" ht="15" hidden="false" customHeight="true" outlineLevel="0" collapsed="false">
      <c r="A8" s="16" t="s">
        <v>76</v>
      </c>
      <c r="B8" s="17" t="n">
        <f aca="false">B6+B7</f>
        <v>575600</v>
      </c>
      <c r="C8" s="17" t="n">
        <f aca="false">C6+C7</f>
        <v>1939370</v>
      </c>
      <c r="D8" s="17" t="n">
        <f aca="false">D6+D7</f>
        <v>5288186</v>
      </c>
      <c r="E8" s="18" t="n">
        <f aca="false">IFERROR((D8/B8)^(1/2)-1,0)</f>
        <v>2.03104907793591</v>
      </c>
    </row>
    <row r="10" customFormat="false" ht="18" hidden="false" customHeight="true" outlineLevel="0" collapsed="false">
      <c r="A10" s="4" t="s">
        <v>77</v>
      </c>
      <c r="B10" s="4"/>
      <c r="C10" s="4"/>
      <c r="D10" s="4"/>
      <c r="E10" s="4"/>
    </row>
    <row r="11" customFormat="false" ht="15" hidden="false" customHeight="true" outlineLevel="0" collapsed="false">
      <c r="A11" s="13" t="s">
        <v>78</v>
      </c>
      <c r="B11" s="14" t="n">
        <f aca="false">Hypotheses!C36+(Hypotheses!C32*Hypotheses!C33*0.4)</f>
        <v>104000</v>
      </c>
      <c r="C11" s="14" t="n">
        <f aca="false">Hypotheses!D36+(Hypotheses!D32*Hypotheses!D33*0.4)</f>
        <v>153120</v>
      </c>
      <c r="D11" s="14" t="n">
        <f aca="false">Hypotheses!E36+(Hypotheses!E32*Hypotheses!E33*0.4)</f>
        <v>221056</v>
      </c>
      <c r="E11" s="15" t="n">
        <f aca="false">IFERROR((D11/B11)^(1/2)-1,0)</f>
        <v>0.457922652796938</v>
      </c>
    </row>
    <row r="12" customFormat="false" ht="15" hidden="false" customHeight="true" outlineLevel="0" collapsed="false">
      <c r="A12" s="16" t="s">
        <v>79</v>
      </c>
      <c r="B12" s="17" t="n">
        <f aca="false">B8-B11</f>
        <v>471600</v>
      </c>
      <c r="C12" s="17" t="n">
        <f aca="false">C8-C11</f>
        <v>1786250</v>
      </c>
      <c r="D12" s="17" t="n">
        <f aca="false">D8-D11</f>
        <v>5067130</v>
      </c>
      <c r="E12" s="18" t="n">
        <f aca="false">IFERROR((D12/B12)^(1/2)-1,0)</f>
        <v>2.27788811073487</v>
      </c>
    </row>
    <row r="13" customFormat="false" ht="15" hidden="false" customHeight="true" outlineLevel="0" collapsed="false">
      <c r="A13" s="13" t="s">
        <v>80</v>
      </c>
      <c r="B13" s="19" t="n">
        <f aca="false">IFERROR(B12/B8,0)</f>
        <v>0.819318971507992</v>
      </c>
      <c r="C13" s="19" t="n">
        <f aca="false">IFERROR(C12/C8,0)</f>
        <v>0.921046525418048</v>
      </c>
      <c r="D13" s="19" t="n">
        <f aca="false">IFERROR(D12/D8,0)</f>
        <v>0.958198142047197</v>
      </c>
      <c r="E13" s="20"/>
    </row>
    <row r="15" customFormat="false" ht="18" hidden="false" customHeight="true" outlineLevel="0" collapsed="false">
      <c r="A15" s="4" t="s">
        <v>81</v>
      </c>
      <c r="B15" s="4"/>
      <c r="C15" s="4"/>
      <c r="D15" s="4"/>
      <c r="E15" s="4"/>
    </row>
    <row r="16" customFormat="false" ht="15" hidden="false" customHeight="true" outlineLevel="0" collapsed="false">
      <c r="A16" s="13" t="s">
        <v>82</v>
      </c>
      <c r="B16" s="14" t="n">
        <f aca="false">Hypotheses!C32*Hypotheses!C33</f>
        <v>240000</v>
      </c>
      <c r="C16" s="14" t="n">
        <f aca="false">Hypotheses!D32*Hypotheses!D33</f>
        <v>332800</v>
      </c>
      <c r="D16" s="14" t="n">
        <f aca="false">Hypotheses!E32*Hypotheses!E33</f>
        <v>432640</v>
      </c>
      <c r="E16" s="15" t="n">
        <f aca="false">IFERROR((D16/B16)^(1/2)-1,0)</f>
        <v>0.342634226685238</v>
      </c>
    </row>
    <row r="17" customFormat="false" ht="15" hidden="false" customHeight="true" outlineLevel="0" collapsed="false">
      <c r="A17" s="13" t="s">
        <v>83</v>
      </c>
      <c r="B17" s="14" t="n">
        <f aca="false">Hypotheses!C34*Hypotheses!C35</f>
        <v>120000</v>
      </c>
      <c r="C17" s="14" t="n">
        <f aca="false">Hypotheses!D34*Hypotheses!D35</f>
        <v>312000</v>
      </c>
      <c r="D17" s="14" t="n">
        <f aca="false">Hypotheses!E34*Hypotheses!E35</f>
        <v>584064</v>
      </c>
      <c r="E17" s="15" t="n">
        <f aca="false">IFERROR((D17/B17)^(1/2)-1,0)</f>
        <v>1.20617315730203</v>
      </c>
    </row>
    <row r="18" customFormat="false" ht="15" hidden="false" customHeight="true" outlineLevel="0" collapsed="false">
      <c r="A18" s="13" t="s">
        <v>84</v>
      </c>
      <c r="B18" s="14" t="n">
        <f aca="false">B8*Hypotheses!C37</f>
        <v>69072</v>
      </c>
      <c r="C18" s="14" t="n">
        <f aca="false">C8*Hypotheses!D37</f>
        <v>193937</v>
      </c>
      <c r="D18" s="14" t="n">
        <f aca="false">D8*Hypotheses!E37</f>
        <v>423054.88</v>
      </c>
      <c r="E18" s="15" t="n">
        <f aca="false">IFERROR((D18/B18)^(1/2)-1,0)</f>
        <v>1.47484120875881</v>
      </c>
    </row>
    <row r="19" customFormat="false" ht="15" hidden="false" customHeight="true" outlineLevel="0" collapsed="false">
      <c r="A19" s="13" t="s">
        <v>85</v>
      </c>
      <c r="B19" s="14" t="n">
        <f aca="false">B8*Hypotheses!C38</f>
        <v>103608</v>
      </c>
      <c r="C19" s="14" t="n">
        <f aca="false">C8*Hypotheses!D38</f>
        <v>271511.8</v>
      </c>
      <c r="D19" s="14" t="n">
        <f aca="false">D8*Hypotheses!E38</f>
        <v>634582.32</v>
      </c>
      <c r="E19" s="15" t="n">
        <f aca="false">IFERROR((D19/B19)^(1/2)-1,0)</f>
        <v>1.47484120875881</v>
      </c>
    </row>
    <row r="20" customFormat="false" ht="15" hidden="false" customHeight="true" outlineLevel="0" collapsed="false">
      <c r="A20" s="16" t="s">
        <v>86</v>
      </c>
      <c r="B20" s="17" t="n">
        <f aca="false">SUM(B16:B19)</f>
        <v>532680</v>
      </c>
      <c r="C20" s="17" t="n">
        <f aca="false">SUM(C16:C19)</f>
        <v>1110248.8</v>
      </c>
      <c r="D20" s="17" t="n">
        <f aca="false">SUM(D16:D19)</f>
        <v>2074341.2</v>
      </c>
      <c r="E20" s="18" t="n">
        <f aca="false">IFERROR((D20/B20)^(1/2)-1,0)</f>
        <v>0.973362636749197</v>
      </c>
    </row>
    <row r="22" customFormat="false" ht="18" hidden="false" customHeight="true" outlineLevel="0" collapsed="false">
      <c r="A22" s="4" t="s">
        <v>87</v>
      </c>
      <c r="B22" s="4"/>
      <c r="C22" s="4"/>
      <c r="D22" s="4"/>
      <c r="E22" s="4"/>
    </row>
    <row r="23" customFormat="false" ht="15" hidden="false" customHeight="true" outlineLevel="0" collapsed="false">
      <c r="A23" s="21" t="s">
        <v>88</v>
      </c>
      <c r="B23" s="22" t="n">
        <f aca="false">B12-B20</f>
        <v>-61080</v>
      </c>
      <c r="C23" s="22" t="n">
        <f aca="false">C12-C20</f>
        <v>676001.2</v>
      </c>
      <c r="D23" s="22" t="n">
        <f aca="false">D12-D20</f>
        <v>2992788.8</v>
      </c>
      <c r="E23" s="23" t="n">
        <f aca="false">IFERROR((D23/B23)^(1/2)-1,0)</f>
        <v>0</v>
      </c>
    </row>
    <row r="24" customFormat="false" ht="15" hidden="false" customHeight="true" outlineLevel="0" collapsed="false">
      <c r="A24" s="13" t="s">
        <v>89</v>
      </c>
      <c r="B24" s="19" t="n">
        <f aca="false">IFERROR(B23/B8,0)</f>
        <v>-0.106115357887422</v>
      </c>
      <c r="C24" s="19" t="n">
        <f aca="false">IFERROR(C23/C8,0)</f>
        <v>0.348567421379108</v>
      </c>
      <c r="D24" s="19" t="n">
        <f aca="false">IFERROR(D23/D8,0)</f>
        <v>0.565938641341284</v>
      </c>
      <c r="E24" s="20"/>
    </row>
  </sheetData>
  <mergeCells count="6">
    <mergeCell ref="A1:E1"/>
    <mergeCell ref="A2:E2"/>
    <mergeCell ref="A5:E5"/>
    <mergeCell ref="A10:E10"/>
    <mergeCell ref="A15:E15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7"/>
  </cols>
  <sheetData>
    <row r="1" customFormat="false" ht="37.5" hidden="false" customHeight="true" outlineLevel="0" collapsed="false">
      <c r="A1" s="2" t="s">
        <v>90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91</v>
      </c>
      <c r="B2" s="3"/>
      <c r="C2" s="3"/>
      <c r="D2" s="3"/>
      <c r="E2" s="3"/>
      <c r="F2" s="3"/>
      <c r="G2" s="3"/>
      <c r="H2" s="3"/>
      <c r="I2" s="3"/>
    </row>
    <row r="4" customFormat="false" ht="18" hidden="false" customHeight="true" outlineLevel="0" collapsed="false">
      <c r="A4" s="24" t="s">
        <v>92</v>
      </c>
      <c r="B4" s="24"/>
      <c r="C4" s="24"/>
      <c r="D4" s="24"/>
      <c r="E4" s="24"/>
      <c r="F4" s="24"/>
      <c r="G4" s="24"/>
      <c r="H4" s="24"/>
      <c r="I4" s="24"/>
    </row>
    <row r="5" customFormat="false" ht="15" hidden="false" customHeight="true" outlineLevel="0" collapsed="false">
      <c r="A5" s="5" t="s">
        <v>93</v>
      </c>
      <c r="B5" s="25" t="n">
        <v>10000</v>
      </c>
      <c r="C5" s="25" t="n">
        <v>12000</v>
      </c>
      <c r="D5" s="25" t="n">
        <v>15000</v>
      </c>
      <c r="E5" s="25" t="n">
        <v>18000</v>
      </c>
      <c r="F5" s="25" t="n">
        <v>20000</v>
      </c>
      <c r="G5" s="25" t="n">
        <v>23000</v>
      </c>
      <c r="H5" s="25" t="n">
        <v>26000</v>
      </c>
    </row>
    <row r="6" customFormat="false" ht="15" hidden="false" customHeight="true" outlineLevel="0" collapsed="false">
      <c r="A6" s="26" t="n">
        <v>0.03</v>
      </c>
      <c r="B6" s="27" t="n">
        <v>369600</v>
      </c>
      <c r="C6" s="27" t="n">
        <v>409600</v>
      </c>
      <c r="D6" s="27" t="n">
        <v>469600</v>
      </c>
      <c r="E6" s="28" t="n">
        <v>529600</v>
      </c>
      <c r="F6" s="28" t="n">
        <v>569600</v>
      </c>
      <c r="G6" s="28" t="n">
        <v>629600</v>
      </c>
      <c r="H6" s="28" t="n">
        <v>689600</v>
      </c>
    </row>
    <row r="7" customFormat="false" ht="15" hidden="false" customHeight="true" outlineLevel="0" collapsed="false">
      <c r="A7" s="26" t="n">
        <v>0.04</v>
      </c>
      <c r="B7" s="27" t="n">
        <v>422600</v>
      </c>
      <c r="C7" s="27" t="n">
        <v>462600</v>
      </c>
      <c r="D7" s="28" t="n">
        <v>522600</v>
      </c>
      <c r="E7" s="28" t="n">
        <v>582600</v>
      </c>
      <c r="F7" s="28" t="n">
        <v>622600</v>
      </c>
      <c r="G7" s="28" t="n">
        <v>682600</v>
      </c>
      <c r="H7" s="29" t="n">
        <v>742600</v>
      </c>
    </row>
    <row r="8" customFormat="false" ht="15" hidden="false" customHeight="true" outlineLevel="0" collapsed="false">
      <c r="A8" s="26" t="n">
        <v>0.05</v>
      </c>
      <c r="B8" s="27" t="n">
        <v>475600</v>
      </c>
      <c r="C8" s="28" t="n">
        <v>515600</v>
      </c>
      <c r="D8" s="30" t="n">
        <v>575600</v>
      </c>
      <c r="E8" s="28" t="n">
        <v>635600</v>
      </c>
      <c r="F8" s="28" t="n">
        <v>675600</v>
      </c>
      <c r="G8" s="29" t="n">
        <v>735600</v>
      </c>
      <c r="H8" s="29" t="n">
        <v>795600</v>
      </c>
    </row>
    <row r="9" customFormat="false" ht="15" hidden="false" customHeight="true" outlineLevel="0" collapsed="false">
      <c r="A9" s="26" t="n">
        <v>0.06</v>
      </c>
      <c r="B9" s="28" t="n">
        <v>539200</v>
      </c>
      <c r="C9" s="28" t="n">
        <v>579200</v>
      </c>
      <c r="D9" s="28" t="n">
        <v>639200</v>
      </c>
      <c r="E9" s="28" t="n">
        <v>699200</v>
      </c>
      <c r="F9" s="29" t="n">
        <v>739200</v>
      </c>
      <c r="G9" s="29" t="n">
        <v>799200</v>
      </c>
      <c r="H9" s="29" t="n">
        <v>859200</v>
      </c>
    </row>
    <row r="10" customFormat="false" ht="15" hidden="false" customHeight="true" outlineLevel="0" collapsed="false">
      <c r="A10" s="26" t="n">
        <v>0.07</v>
      </c>
      <c r="B10" s="28" t="n">
        <v>592200</v>
      </c>
      <c r="C10" s="28" t="n">
        <v>632200</v>
      </c>
      <c r="D10" s="28" t="n">
        <v>692200</v>
      </c>
      <c r="E10" s="29" t="n">
        <v>752200</v>
      </c>
      <c r="F10" s="29" t="n">
        <v>792200</v>
      </c>
      <c r="G10" s="29" t="n">
        <v>852200</v>
      </c>
      <c r="H10" s="29" t="n">
        <v>912200</v>
      </c>
    </row>
    <row r="11" customFormat="false" ht="15" hidden="false" customHeight="true" outlineLevel="0" collapsed="false">
      <c r="A11" s="26" t="n">
        <v>0.08</v>
      </c>
      <c r="B11" s="28" t="n">
        <v>645200</v>
      </c>
      <c r="C11" s="28" t="n">
        <v>685200</v>
      </c>
      <c r="D11" s="29" t="n">
        <v>745200</v>
      </c>
      <c r="E11" s="29" t="n">
        <v>805200</v>
      </c>
      <c r="F11" s="29" t="n">
        <v>845200</v>
      </c>
      <c r="G11" s="29" t="n">
        <v>905200</v>
      </c>
      <c r="H11" s="29" t="n">
        <v>965200</v>
      </c>
    </row>
    <row r="12" customFormat="false" ht="15" hidden="false" customHeight="true" outlineLevel="0" collapsed="false">
      <c r="A12" s="26" t="n">
        <v>0.1</v>
      </c>
      <c r="B12" s="29" t="n">
        <v>751200</v>
      </c>
      <c r="C12" s="29" t="n">
        <v>791200</v>
      </c>
      <c r="D12" s="29" t="n">
        <v>851200</v>
      </c>
      <c r="E12" s="29" t="n">
        <v>911200</v>
      </c>
      <c r="F12" s="29" t="n">
        <v>951200</v>
      </c>
      <c r="G12" s="29" t="n">
        <v>1011200</v>
      </c>
      <c r="H12" s="29" t="n">
        <v>1071200</v>
      </c>
    </row>
    <row r="14" customFormat="false" ht="18" hidden="false" customHeight="true" outlineLevel="0" collapsed="false">
      <c r="A14" s="24" t="s">
        <v>94</v>
      </c>
      <c r="B14" s="24"/>
      <c r="C14" s="24"/>
      <c r="D14" s="24"/>
      <c r="E14" s="24"/>
      <c r="F14" s="24"/>
      <c r="G14" s="24"/>
      <c r="H14" s="24"/>
      <c r="I14" s="24"/>
    </row>
    <row r="15" customFormat="false" ht="15" hidden="false" customHeight="true" outlineLevel="0" collapsed="false">
      <c r="A15" s="5" t="s">
        <v>93</v>
      </c>
      <c r="B15" s="25" t="n">
        <v>15000</v>
      </c>
      <c r="C15" s="25" t="n">
        <v>18000</v>
      </c>
      <c r="D15" s="25" t="n">
        <v>21000</v>
      </c>
      <c r="E15" s="25" t="n">
        <v>26000</v>
      </c>
      <c r="F15" s="25" t="n">
        <v>30000</v>
      </c>
      <c r="G15" s="25" t="n">
        <v>35000</v>
      </c>
      <c r="H15" s="25" t="n">
        <v>40000</v>
      </c>
    </row>
    <row r="16" customFormat="false" ht="15" hidden="false" customHeight="true" outlineLevel="0" collapsed="false">
      <c r="A16" s="26" t="n">
        <v>0.06</v>
      </c>
      <c r="B16" s="28" t="n">
        <v>3094911.6</v>
      </c>
      <c r="C16" s="28" t="n">
        <v>3484911.6</v>
      </c>
      <c r="D16" s="28" t="n">
        <v>3874911.6</v>
      </c>
      <c r="E16" s="28" t="n">
        <v>4524911.6</v>
      </c>
      <c r="F16" s="29" t="n">
        <v>5044911.6</v>
      </c>
      <c r="G16" s="29" t="n">
        <v>5694911.6</v>
      </c>
      <c r="H16" s="29" t="n">
        <v>6344911.6</v>
      </c>
    </row>
    <row r="17" customFormat="false" ht="15" hidden="false" customHeight="true" outlineLevel="0" collapsed="false">
      <c r="A17" s="26" t="n">
        <v>0.07</v>
      </c>
      <c r="B17" s="28" t="n">
        <v>3285730.2</v>
      </c>
      <c r="C17" s="28" t="n">
        <v>3675730.2</v>
      </c>
      <c r="D17" s="28" t="n">
        <v>4065730.2</v>
      </c>
      <c r="E17" s="28" t="n">
        <v>4715730.2</v>
      </c>
      <c r="F17" s="29" t="n">
        <v>5235730.2</v>
      </c>
      <c r="G17" s="29" t="n">
        <v>5885730.2</v>
      </c>
      <c r="H17" s="29" t="n">
        <v>6535730.2</v>
      </c>
    </row>
    <row r="18" customFormat="false" ht="15" hidden="false" customHeight="true" outlineLevel="0" collapsed="false">
      <c r="A18" s="26" t="n">
        <v>0.08</v>
      </c>
      <c r="B18" s="28" t="n">
        <v>3476548.8</v>
      </c>
      <c r="C18" s="28" t="n">
        <v>3866548.8</v>
      </c>
      <c r="D18" s="28" t="n">
        <v>4256548.8</v>
      </c>
      <c r="E18" s="28" t="n">
        <v>4906548.8</v>
      </c>
      <c r="F18" s="29" t="n">
        <v>5426548.8</v>
      </c>
      <c r="G18" s="29" t="n">
        <v>6076548.8</v>
      </c>
      <c r="H18" s="29" t="n">
        <v>6726548.8</v>
      </c>
    </row>
    <row r="19" customFormat="false" ht="15" hidden="false" customHeight="true" outlineLevel="0" collapsed="false">
      <c r="A19" s="26" t="n">
        <v>0.1</v>
      </c>
      <c r="B19" s="28" t="n">
        <v>3858186</v>
      </c>
      <c r="C19" s="28" t="n">
        <v>4248186</v>
      </c>
      <c r="D19" s="28" t="n">
        <v>4638186</v>
      </c>
      <c r="E19" s="30" t="n">
        <v>5288186</v>
      </c>
      <c r="F19" s="29" t="n">
        <v>5808186</v>
      </c>
      <c r="G19" s="29" t="n">
        <v>6458186</v>
      </c>
      <c r="H19" s="29" t="n">
        <v>7108186</v>
      </c>
    </row>
    <row r="20" customFormat="false" ht="15" hidden="false" customHeight="true" outlineLevel="0" collapsed="false">
      <c r="A20" s="26" t="n">
        <v>0.12</v>
      </c>
      <c r="B20" s="28" t="n">
        <v>4239823.2</v>
      </c>
      <c r="C20" s="28" t="n">
        <v>4629823.2</v>
      </c>
      <c r="D20" s="29" t="n">
        <v>5019823.2</v>
      </c>
      <c r="E20" s="29" t="n">
        <v>5669823.2</v>
      </c>
      <c r="F20" s="29" t="n">
        <v>6189823.2</v>
      </c>
      <c r="G20" s="29" t="n">
        <v>6839823.2</v>
      </c>
      <c r="H20" s="29" t="n">
        <v>7489823.2</v>
      </c>
    </row>
    <row r="21" customFormat="false" ht="15" hidden="false" customHeight="true" outlineLevel="0" collapsed="false">
      <c r="A21" s="26" t="n">
        <v>0.14</v>
      </c>
      <c r="B21" s="28" t="n">
        <v>4621460.4</v>
      </c>
      <c r="C21" s="29" t="n">
        <v>5011460.4</v>
      </c>
      <c r="D21" s="29" t="n">
        <v>5401460.4</v>
      </c>
      <c r="E21" s="29" t="n">
        <v>6051460.4</v>
      </c>
      <c r="F21" s="29" t="n">
        <v>6571460.4</v>
      </c>
      <c r="G21" s="29" t="n">
        <v>7221460.4</v>
      </c>
      <c r="H21" s="29" t="n">
        <v>7871460.4</v>
      </c>
    </row>
    <row r="22" customFormat="false" ht="15" hidden="false" customHeight="true" outlineLevel="0" collapsed="false">
      <c r="A22" s="26" t="n">
        <v>0.16</v>
      </c>
      <c r="B22" s="29" t="n">
        <v>5003097.6</v>
      </c>
      <c r="C22" s="29" t="n">
        <v>5393097.6</v>
      </c>
      <c r="D22" s="29" t="n">
        <v>5783097.6</v>
      </c>
      <c r="E22" s="29" t="n">
        <v>6433097.6</v>
      </c>
      <c r="F22" s="29" t="n">
        <v>6953097.6</v>
      </c>
      <c r="G22" s="29" t="n">
        <v>7603097.6</v>
      </c>
      <c r="H22" s="29" t="n">
        <v>8253097.6</v>
      </c>
    </row>
    <row r="23" customFormat="false" ht="18" hidden="false" customHeight="true" outlineLevel="0" collapsed="false">
      <c r="A23" s="31" t="s">
        <v>95</v>
      </c>
      <c r="B23" s="31"/>
      <c r="C23" s="31"/>
      <c r="D23" s="31"/>
      <c r="E23" s="31"/>
      <c r="F23" s="31"/>
      <c r="G23" s="31"/>
      <c r="H23" s="31"/>
      <c r="I23" s="31"/>
    </row>
    <row r="24" customFormat="false" ht="18" hidden="false" customHeight="true" outlineLevel="0" collapsed="false">
      <c r="A24" s="31"/>
      <c r="B24" s="31"/>
      <c r="C24" s="31"/>
      <c r="D24" s="31"/>
      <c r="E24" s="31"/>
      <c r="F24" s="31"/>
      <c r="G24" s="31"/>
      <c r="H24" s="31"/>
      <c r="I24" s="31"/>
    </row>
    <row r="25" customFormat="false" ht="18" hidden="false" customHeight="true" outlineLevel="0" collapsed="false">
      <c r="A25" s="31"/>
      <c r="B25" s="31"/>
      <c r="C25" s="31"/>
      <c r="D25" s="31"/>
      <c r="E25" s="31"/>
      <c r="F25" s="31"/>
      <c r="G25" s="31"/>
      <c r="H25" s="31"/>
      <c r="I25" s="31"/>
    </row>
  </sheetData>
  <mergeCells count="5">
    <mergeCell ref="A1:I1"/>
    <mergeCell ref="A2:I2"/>
    <mergeCell ref="A4:I4"/>
    <mergeCell ref="A14:I14"/>
    <mergeCell ref="A23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2026-04-28T09:18:30Z</dcterms:created>
  <dc:creator>openpyxl</dc:creator>
  <dc:description/>
  <dc:language>en-US</dc:language>
  <cp:lastModifiedBy/>
  <dcterms:modified xsi:type="dcterms:W3CDTF">2026-04-28T10:44:54Z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